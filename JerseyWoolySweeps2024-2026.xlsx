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1Datasets\"/>
    </mc:Choice>
  </mc:AlternateContent>
  <xr:revisionPtr revIDLastSave="0" documentId="13_ncr:1_{6243B898-4E22-4935-8EEC-7AE6AA31DA8D}" xr6:coauthVersionLast="47" xr6:coauthVersionMax="47" xr10:uidLastSave="{00000000-0000-0000-0000-000000000000}"/>
  <bookViews>
    <workbookView xWindow="-108" yWindow="-108" windowWidth="23256" windowHeight="12456" activeTab="3" xr2:uid="{F4D88B71-8E1B-4CDC-9223-A16B2F1FCC97}"/>
  </bookViews>
  <sheets>
    <sheet name="SWEEPS_2026" sheetId="1" r:id="rId1"/>
    <sheet name="SWEEPS_2025" sheetId="2" r:id="rId2"/>
    <sheet name="SWEEPS_2024" sheetId="3" r:id="rId3"/>
    <sheet name="Exhibitors" sheetId="4" r:id="rId4"/>
  </sheets>
  <definedNames>
    <definedName name="_xlnm._FilterDatabase" localSheetId="2" hidden="1">SWEEPS_2024!$A$1:$H$117</definedName>
    <definedName name="_xlnm._FilterDatabase" localSheetId="1" hidden="1">SWEEPS_2025!$A$1:$H$131</definedName>
    <definedName name="_xlnm._FilterDatabase" localSheetId="0" hidden="1">SWEEPS_2026!$A$1:$H$64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3" l="1"/>
  <c r="H18" i="3"/>
  <c r="H8" i="3"/>
  <c r="H12" i="3"/>
  <c r="H16" i="3"/>
  <c r="H13" i="3"/>
  <c r="H21" i="3"/>
  <c r="H14" i="3"/>
  <c r="H7" i="3"/>
  <c r="H9" i="3"/>
  <c r="H42" i="3"/>
  <c r="H26" i="3"/>
  <c r="H20" i="3"/>
  <c r="H22" i="3"/>
  <c r="H30" i="3"/>
  <c r="H17" i="3"/>
  <c r="H50" i="3"/>
  <c r="H66" i="3"/>
  <c r="H23" i="3"/>
  <c r="H15" i="3"/>
  <c r="H10" i="3"/>
  <c r="H28" i="3"/>
  <c r="H39" i="3"/>
  <c r="H25" i="3"/>
  <c r="H27" i="3"/>
  <c r="H67" i="3"/>
  <c r="H55" i="3"/>
  <c r="H33" i="3"/>
  <c r="H73" i="3"/>
  <c r="H38" i="3"/>
  <c r="H35" i="3"/>
  <c r="H44" i="3"/>
  <c r="H24" i="3"/>
  <c r="H45" i="3"/>
  <c r="H37" i="3"/>
  <c r="H41" i="3"/>
  <c r="H59" i="3"/>
  <c r="H46" i="3"/>
  <c r="H34" i="3"/>
  <c r="H3" i="3"/>
  <c r="H29" i="3"/>
  <c r="H19" i="3"/>
  <c r="H47" i="3"/>
  <c r="H52" i="3"/>
  <c r="H51" i="3"/>
  <c r="H53" i="3"/>
  <c r="H31" i="3"/>
  <c r="H62" i="3"/>
  <c r="H60" i="3"/>
  <c r="H32" i="3"/>
  <c r="H4" i="3"/>
  <c r="H2" i="3"/>
  <c r="H40" i="3"/>
  <c r="H76" i="3"/>
  <c r="H71" i="3"/>
  <c r="H94" i="3"/>
  <c r="H74" i="3"/>
  <c r="H78" i="3"/>
  <c r="H69" i="3"/>
  <c r="H54" i="3"/>
  <c r="H82" i="3"/>
  <c r="H57" i="3"/>
  <c r="H70" i="3"/>
  <c r="H6" i="3"/>
  <c r="H36" i="3"/>
  <c r="H63" i="3"/>
  <c r="H83" i="3"/>
  <c r="H48" i="3"/>
  <c r="H58" i="3"/>
  <c r="H43" i="3"/>
  <c r="H64" i="3"/>
  <c r="H65" i="3"/>
  <c r="H93" i="3"/>
  <c r="H61" i="3"/>
  <c r="H108" i="3"/>
  <c r="H81" i="3"/>
  <c r="H72" i="3"/>
  <c r="H79" i="3"/>
  <c r="H85" i="3"/>
  <c r="H115" i="3"/>
  <c r="H77" i="3"/>
  <c r="H88" i="3"/>
  <c r="H87" i="3"/>
  <c r="H92" i="3"/>
  <c r="H97" i="3"/>
  <c r="H80" i="3"/>
  <c r="H95" i="3"/>
  <c r="H90" i="3"/>
  <c r="H98" i="3"/>
  <c r="H102" i="3"/>
  <c r="H103" i="3"/>
  <c r="H105" i="3"/>
  <c r="H86" i="3"/>
  <c r="H89" i="3"/>
  <c r="H49" i="3"/>
  <c r="H116" i="3"/>
  <c r="H106" i="3"/>
  <c r="H68" i="3"/>
  <c r="H109" i="3"/>
  <c r="H56" i="3"/>
  <c r="H96" i="3"/>
  <c r="H100" i="3"/>
  <c r="H75" i="3"/>
  <c r="H107" i="3"/>
  <c r="H99" i="3"/>
  <c r="H91" i="3"/>
  <c r="H110" i="3"/>
  <c r="H112" i="3"/>
  <c r="H84" i="3"/>
  <c r="H113" i="3"/>
  <c r="H101" i="3"/>
  <c r="H111" i="3"/>
  <c r="H114" i="3"/>
  <c r="H117" i="3"/>
  <c r="H104" i="3"/>
  <c r="H5" i="3"/>
  <c r="H10" i="2"/>
  <c r="H7" i="2"/>
  <c r="H6" i="2"/>
  <c r="H16" i="2"/>
  <c r="H4" i="2"/>
  <c r="H9" i="2"/>
  <c r="H5" i="2"/>
  <c r="H11" i="2"/>
  <c r="H18" i="2"/>
  <c r="H15" i="2"/>
  <c r="H13" i="2"/>
  <c r="H27" i="2"/>
  <c r="H23" i="2"/>
  <c r="H21" i="2"/>
  <c r="H19" i="2"/>
  <c r="H31" i="2"/>
  <c r="H39" i="2"/>
  <c r="H12" i="2"/>
  <c r="H74" i="2"/>
  <c r="H24" i="2"/>
  <c r="H17" i="2"/>
  <c r="H22" i="2"/>
  <c r="H3" i="2"/>
  <c r="H48" i="2"/>
  <c r="H28" i="2"/>
  <c r="H49" i="2"/>
  <c r="H61" i="2"/>
  <c r="H43" i="2"/>
  <c r="H33" i="2"/>
  <c r="H36" i="2"/>
  <c r="H42" i="2"/>
  <c r="H14" i="2"/>
  <c r="H29" i="2"/>
  <c r="H37" i="2"/>
  <c r="H34" i="2"/>
  <c r="H76" i="2"/>
  <c r="H50" i="2"/>
  <c r="H38" i="2"/>
  <c r="H2" i="2"/>
  <c r="H44" i="2"/>
  <c r="H45" i="2"/>
  <c r="H87" i="2"/>
  <c r="H68" i="2"/>
  <c r="H63" i="2"/>
  <c r="H83" i="2"/>
  <c r="H66" i="2"/>
  <c r="H30" i="2"/>
  <c r="H54" i="2"/>
  <c r="H47" i="2"/>
  <c r="H35" i="2"/>
  <c r="H53" i="2"/>
  <c r="H59" i="2"/>
  <c r="H52" i="2"/>
  <c r="H57" i="2"/>
  <c r="H41" i="2"/>
  <c r="H60" i="2"/>
  <c r="H58" i="2"/>
  <c r="H51" i="2"/>
  <c r="H46" i="2"/>
  <c r="H64" i="2"/>
  <c r="H25" i="2"/>
  <c r="H55" i="2"/>
  <c r="H65" i="2"/>
  <c r="H56" i="2"/>
  <c r="H103" i="2"/>
  <c r="H89" i="2"/>
  <c r="H62" i="2"/>
  <c r="H26" i="2"/>
  <c r="H67" i="2"/>
  <c r="H101" i="2"/>
  <c r="H73" i="2"/>
  <c r="H92" i="2"/>
  <c r="H95" i="2"/>
  <c r="H69" i="2"/>
  <c r="H20" i="2"/>
  <c r="H70" i="2"/>
  <c r="H71" i="2"/>
  <c r="H78" i="2"/>
  <c r="H80" i="2"/>
  <c r="H106" i="2"/>
  <c r="H75" i="2"/>
  <c r="H110" i="2"/>
  <c r="H32" i="2"/>
  <c r="H99" i="2"/>
  <c r="H109" i="2"/>
  <c r="H40" i="2"/>
  <c r="H115" i="2"/>
  <c r="H77" i="2"/>
  <c r="H79" i="2"/>
  <c r="H72" i="2"/>
  <c r="H88" i="2"/>
  <c r="H130" i="2"/>
  <c r="H85" i="2"/>
  <c r="H84" i="2"/>
  <c r="H118" i="2"/>
  <c r="H97" i="2"/>
  <c r="H94" i="2"/>
  <c r="H100" i="2"/>
  <c r="H104" i="2"/>
  <c r="H90" i="2"/>
  <c r="H102" i="2"/>
  <c r="H86" i="2"/>
  <c r="H112" i="2"/>
  <c r="H119" i="2"/>
  <c r="H105" i="2"/>
  <c r="H123" i="2"/>
  <c r="H107" i="2"/>
  <c r="H111" i="2"/>
  <c r="H82" i="2"/>
  <c r="H96" i="2"/>
  <c r="H113" i="2"/>
  <c r="H124" i="2"/>
  <c r="H114" i="2"/>
  <c r="H120" i="2"/>
  <c r="H98" i="2"/>
  <c r="H81" i="2"/>
  <c r="H108" i="2"/>
  <c r="H91" i="2"/>
  <c r="H121" i="2"/>
  <c r="H93" i="2"/>
  <c r="H125" i="2"/>
  <c r="H116" i="2"/>
  <c r="H117" i="2"/>
  <c r="H126" i="2"/>
  <c r="H127" i="2"/>
  <c r="H122" i="2"/>
  <c r="H129" i="2"/>
  <c r="H128" i="2"/>
  <c r="H8" i="2"/>
  <c r="H5" i="1"/>
  <c r="H18" i="1"/>
  <c r="H17" i="1"/>
  <c r="H37" i="1"/>
  <c r="H14" i="1"/>
  <c r="H15" i="1"/>
  <c r="H23" i="1"/>
  <c r="H47" i="1"/>
  <c r="H34" i="1"/>
  <c r="H36" i="1"/>
  <c r="H30" i="1"/>
  <c r="H11" i="1"/>
  <c r="H48" i="1"/>
  <c r="H20" i="1"/>
  <c r="H54" i="1"/>
  <c r="H22" i="1"/>
  <c r="H28" i="1"/>
  <c r="H21" i="1"/>
  <c r="H39" i="1"/>
  <c r="H9" i="1"/>
  <c r="H41" i="1"/>
  <c r="H44" i="1"/>
  <c r="H19" i="1"/>
  <c r="H53" i="1"/>
  <c r="H45" i="1"/>
  <c r="H40" i="1"/>
  <c r="H33" i="1"/>
  <c r="H32" i="1"/>
  <c r="H26" i="1"/>
  <c r="H50" i="1"/>
  <c r="H31" i="1"/>
  <c r="H60" i="1"/>
  <c r="H38" i="1"/>
  <c r="H56" i="1"/>
  <c r="H59" i="1"/>
  <c r="H63" i="1"/>
  <c r="H42" i="1"/>
  <c r="H7" i="1"/>
  <c r="H46" i="1"/>
  <c r="H16" i="1"/>
  <c r="H43" i="1"/>
  <c r="H24" i="1"/>
  <c r="H57" i="1"/>
  <c r="H55" i="1"/>
  <c r="H62" i="1"/>
  <c r="H35" i="1"/>
  <c r="H58" i="1"/>
  <c r="H64" i="1"/>
  <c r="H51" i="1"/>
  <c r="H8" i="1"/>
  <c r="H52" i="1"/>
  <c r="H61" i="1"/>
  <c r="H49" i="1"/>
  <c r="H29" i="1"/>
  <c r="H4" i="1"/>
  <c r="H6" i="1"/>
  <c r="H2" i="1"/>
  <c r="H3" i="1"/>
  <c r="H25" i="1"/>
  <c r="H12" i="1"/>
  <c r="H13" i="1"/>
  <c r="H27" i="1"/>
  <c r="H10" i="1"/>
</calcChain>
</file>

<file path=xl/sharedStrings.xml><?xml version="1.0" encoding="utf-8"?>
<sst xmlns="http://schemas.openxmlformats.org/spreadsheetml/2006/main" count="826" uniqueCount="317">
  <si>
    <t>Rank</t>
  </si>
  <si>
    <t>Year</t>
  </si>
  <si>
    <t>Exhibitor Name</t>
  </si>
  <si>
    <t>District#</t>
  </si>
  <si>
    <t>#ofShows</t>
  </si>
  <si>
    <t>Points</t>
  </si>
  <si>
    <t>Buell / Forward, Steven &amp; Connie</t>
  </si>
  <si>
    <t>State</t>
  </si>
  <si>
    <t xml:space="preserve">Arnold, Dave </t>
  </si>
  <si>
    <t xml:space="preserve">Sherlock, Barbara </t>
  </si>
  <si>
    <t xml:space="preserve">Mezyk, Karen </t>
  </si>
  <si>
    <t xml:space="preserve">Ayers, Laura &amp; Kevin </t>
  </si>
  <si>
    <t xml:space="preserve">Sultan / Robertson, Meadow &amp; Bethany </t>
  </si>
  <si>
    <t xml:space="preserve">Botson / Przybylowski, Christy &amp; Katrina </t>
  </si>
  <si>
    <t xml:space="preserve">Landis, Michelle </t>
  </si>
  <si>
    <t xml:space="preserve">Sefcik, April &amp; Kaitlyn </t>
  </si>
  <si>
    <t xml:space="preserve">Kuyoth, Daniel </t>
  </si>
  <si>
    <t>NJ</t>
  </si>
  <si>
    <t>OK</t>
  </si>
  <si>
    <t>Points Per Show</t>
  </si>
  <si>
    <t xml:space="preserve">Doling / Holbrook, Maddy &amp; Angela </t>
  </si>
  <si>
    <t>Tillery, Haley</t>
  </si>
  <si>
    <t>Ayers, Laura &amp; Kevin</t>
  </si>
  <si>
    <t>Sherlock, Barbara</t>
  </si>
  <si>
    <t>Aversa, Lindsay &amp; Julie</t>
  </si>
  <si>
    <t>Arnold, Dave</t>
  </si>
  <si>
    <t>Wallace, Shannon</t>
  </si>
  <si>
    <t>Landis, Michelle</t>
  </si>
  <si>
    <t>Przybylowski, Christy &amp; Katrina</t>
  </si>
  <si>
    <t>Mezyk, Karen</t>
  </si>
  <si>
    <t>Reilly, Brenda</t>
  </si>
  <si>
    <t>dham, Christina</t>
  </si>
  <si>
    <t xml:space="preserve">Lesniak, Allison </t>
  </si>
  <si>
    <t xml:space="preserve">Busak, Kelly </t>
  </si>
  <si>
    <t xml:space="preserve">Wilmoth, Colby </t>
  </si>
  <si>
    <t>Roach, Valerie</t>
  </si>
  <si>
    <t xml:space="preserve">Przybylowski, Christy &amp; Katrina </t>
  </si>
  <si>
    <t xml:space="preserve">Buell / Forward, Steven &amp; Connie </t>
  </si>
  <si>
    <t xml:space="preserve">Edder, Deidre </t>
  </si>
  <si>
    <t xml:space="preserve">Aversa, Lindsay &amp; Julie </t>
  </si>
  <si>
    <t xml:space="preserve">DeSelm, Madelyn </t>
  </si>
  <si>
    <t xml:space="preserve">ltz, Jennie </t>
  </si>
  <si>
    <t xml:space="preserve">Knisley, Jacob </t>
  </si>
  <si>
    <t xml:space="preserve">Moerbe, Kathy </t>
  </si>
  <si>
    <t xml:space="preserve">Anderson, Grace </t>
  </si>
  <si>
    <t xml:space="preserve">More, Gail </t>
  </si>
  <si>
    <t xml:space="preserve">Robasciotti, Lori </t>
  </si>
  <si>
    <t xml:space="preserve">Fowler, Amanda </t>
  </si>
  <si>
    <t xml:space="preserve">Evans, Abigail </t>
  </si>
  <si>
    <t xml:space="preserve">McConnell, Michaeline </t>
  </si>
  <si>
    <t xml:space="preserve">Vara, Emily </t>
  </si>
  <si>
    <t xml:space="preserve">Beirau, Gayle </t>
  </si>
  <si>
    <t xml:space="preserve">Boarts, Becky </t>
  </si>
  <si>
    <t xml:space="preserve">Boulier, DeAnn &amp; Niles </t>
  </si>
  <si>
    <t xml:space="preserve">Kneir, Brenda </t>
  </si>
  <si>
    <t xml:space="preserve">Wallace, Shannon </t>
  </si>
  <si>
    <t xml:space="preserve">Olson, Robin </t>
  </si>
  <si>
    <t xml:space="preserve">Milton, Jackie </t>
  </si>
  <si>
    <t xml:space="preserve">Morrison, Carla </t>
  </si>
  <si>
    <t xml:space="preserve">Collins, Judy </t>
  </si>
  <si>
    <t xml:space="preserve">Medo, Bill </t>
  </si>
  <si>
    <t xml:space="preserve">Holbrook, Angela </t>
  </si>
  <si>
    <t xml:space="preserve">Olson, Cassie </t>
  </si>
  <si>
    <t xml:space="preserve">Deling, Kelsey &amp; Carmen </t>
  </si>
  <si>
    <t xml:space="preserve">Reilly / Ringelstetter, Brenda &amp; Christi </t>
  </si>
  <si>
    <t xml:space="preserve">Henderson, Amber </t>
  </si>
  <si>
    <t xml:space="preserve">Jusko, Tayler </t>
  </si>
  <si>
    <t xml:space="preserve">Achgill, Helene </t>
  </si>
  <si>
    <t xml:space="preserve">McCullough, Jan </t>
  </si>
  <si>
    <t xml:space="preserve">Hillery, Kathy </t>
  </si>
  <si>
    <t xml:space="preserve">Pienta, Mallory </t>
  </si>
  <si>
    <t xml:space="preserve">Douglas, Trianna </t>
  </si>
  <si>
    <t xml:space="preserve">Smith, Angela </t>
  </si>
  <si>
    <t xml:space="preserve">Wassom, Claudia </t>
  </si>
  <si>
    <t xml:space="preserve">Becker, Conner </t>
  </si>
  <si>
    <t xml:space="preserve">Grady, Rob &amp; Paula </t>
  </si>
  <si>
    <t xml:space="preserve">Turley, RoseMarie </t>
  </si>
  <si>
    <t xml:space="preserve">Moore, Sharon </t>
  </si>
  <si>
    <t xml:space="preserve">Martin, Karla </t>
  </si>
  <si>
    <t xml:space="preserve">Deer, Terri &amp; Steve </t>
  </si>
  <si>
    <t xml:space="preserve">McKie, Helen </t>
  </si>
  <si>
    <t xml:space="preserve">Cartwright, Rebecca </t>
  </si>
  <si>
    <t xml:space="preserve">Neveu, Heather </t>
  </si>
  <si>
    <t xml:space="preserve">Williams, Alexandra </t>
  </si>
  <si>
    <t xml:space="preserve">Hammond, Becky </t>
  </si>
  <si>
    <t xml:space="preserve">Bell, Lisa </t>
  </si>
  <si>
    <t xml:space="preserve">Jones, Sue </t>
  </si>
  <si>
    <t xml:space="preserve">Roe, Deborah </t>
  </si>
  <si>
    <t xml:space="preserve">Bushman, Stephanie </t>
  </si>
  <si>
    <t xml:space="preserve">Petersen, Margaret </t>
  </si>
  <si>
    <t xml:space="preserve">Longdo, Michelle </t>
  </si>
  <si>
    <t xml:space="preserve">Maki, Sarah </t>
  </si>
  <si>
    <t xml:space="preserve">Andrus, Alicia </t>
  </si>
  <si>
    <t xml:space="preserve">Austin, Chase </t>
  </si>
  <si>
    <t xml:space="preserve">Sheets, Angi </t>
  </si>
  <si>
    <t xml:space="preserve">Robasciotti, Lori &amp; Gillian </t>
  </si>
  <si>
    <t xml:space="preserve">Lyons, Melanie &amp; Yvonne </t>
  </si>
  <si>
    <t xml:space="preserve">Brak, Rhonda </t>
  </si>
  <si>
    <t xml:space="preserve">Hobbs, Jordan </t>
  </si>
  <si>
    <t xml:space="preserve">Freeman, Tracey &amp; Tyrone </t>
  </si>
  <si>
    <t xml:space="preserve">Younggreen, Kellyjo &amp; Cassidy </t>
  </si>
  <si>
    <t xml:space="preserve">Ziebell, Amber </t>
  </si>
  <si>
    <t xml:space="preserve">Pridgen, Stacey </t>
  </si>
  <si>
    <t xml:space="preserve">Lovely, Tara </t>
  </si>
  <si>
    <t xml:space="preserve">Sterner, Teresa </t>
  </si>
  <si>
    <t xml:space="preserve">Hanchar, Nancy </t>
  </si>
  <si>
    <t xml:space="preserve">Summers, Andrea </t>
  </si>
  <si>
    <t xml:space="preserve">Olmstead, Rebecca </t>
  </si>
  <si>
    <t xml:space="preserve">Bukovich, Izzy </t>
  </si>
  <si>
    <t xml:space="preserve">Buell, Steven </t>
  </si>
  <si>
    <t xml:space="preserve">Wood, Laurie </t>
  </si>
  <si>
    <t xml:space="preserve">Busack, Kelly </t>
  </si>
  <si>
    <t xml:space="preserve">Doling, Maddy </t>
  </si>
  <si>
    <t xml:space="preserve">StoecklMelton, Sophie </t>
  </si>
  <si>
    <t xml:space="preserve">Moorse, Brittany </t>
  </si>
  <si>
    <t xml:space="preserve">Wolfe, Michael </t>
  </si>
  <si>
    <t xml:space="preserve">Baldwin, Briana </t>
  </si>
  <si>
    <t xml:space="preserve">Petersen, Nicole </t>
  </si>
  <si>
    <t xml:space="preserve">LeSage, Angel </t>
  </si>
  <si>
    <t xml:space="preserve">Hatt, Janice </t>
  </si>
  <si>
    <t xml:space="preserve">Robasciotti, Gillian </t>
  </si>
  <si>
    <t xml:space="preserve">Born, Annette </t>
  </si>
  <si>
    <t xml:space="preserve">Oldham, Christina </t>
  </si>
  <si>
    <t xml:space="preserve">Neveu, Rachelle </t>
  </si>
  <si>
    <t xml:space="preserve">Forward, Connie </t>
  </si>
  <si>
    <t xml:space="preserve">Clack, Crystal </t>
  </si>
  <si>
    <t xml:space="preserve">Douglas / Busack, Trianna &amp; Kelly </t>
  </si>
  <si>
    <t xml:space="preserve">DeVito, Amanda </t>
  </si>
  <si>
    <t xml:space="preserve">Roman, Casey </t>
  </si>
  <si>
    <t xml:space="preserve">Hammond, Sara </t>
  </si>
  <si>
    <t xml:space="preserve">Roach, Valerie </t>
  </si>
  <si>
    <t xml:space="preserve">Rector, Angela </t>
  </si>
  <si>
    <t xml:space="preserve">Taylor, Kirsten </t>
  </si>
  <si>
    <t xml:space="preserve">Anderson, Larry </t>
  </si>
  <si>
    <t xml:space="preserve">Holbrook / Doling, Angela &amp; Maddy </t>
  </si>
  <si>
    <t xml:space="preserve">Oberly, Mat / Jill / Wyatt &amp; Tyler </t>
  </si>
  <si>
    <t xml:space="preserve">Langreck, Jennifer </t>
  </si>
  <si>
    <t xml:space="preserve">Walkup, Kat </t>
  </si>
  <si>
    <t xml:space="preserve">Ziner, Dale </t>
  </si>
  <si>
    <t xml:space="preserve">Bohach, Kenzie </t>
  </si>
  <si>
    <t xml:space="preserve">Perkins, Rebekah </t>
  </si>
  <si>
    <t xml:space="preserve">Verschure, Beth </t>
  </si>
  <si>
    <t xml:space="preserve">Blakely, Mary </t>
  </si>
  <si>
    <t>PA</t>
  </si>
  <si>
    <t>NY</t>
  </si>
  <si>
    <t>SC</t>
  </si>
  <si>
    <t>MI</t>
  </si>
  <si>
    <t>OH</t>
  </si>
  <si>
    <t>RI</t>
  </si>
  <si>
    <t>IL</t>
  </si>
  <si>
    <t>TX</t>
  </si>
  <si>
    <t>KY</t>
  </si>
  <si>
    <t>CA</t>
  </si>
  <si>
    <t>GA</t>
  </si>
  <si>
    <t>WI</t>
  </si>
  <si>
    <t>MO</t>
  </si>
  <si>
    <t>CO</t>
  </si>
  <si>
    <t>NC</t>
  </si>
  <si>
    <t>UT</t>
  </si>
  <si>
    <t>MN</t>
  </si>
  <si>
    <t>IN</t>
  </si>
  <si>
    <t>WA</t>
  </si>
  <si>
    <t>NS</t>
  </si>
  <si>
    <t>OR</t>
  </si>
  <si>
    <t>SD</t>
  </si>
  <si>
    <t>AK</t>
  </si>
  <si>
    <t>LA</t>
  </si>
  <si>
    <t>MD</t>
  </si>
  <si>
    <t>ME</t>
  </si>
  <si>
    <t>WY</t>
  </si>
  <si>
    <t>NH</t>
  </si>
  <si>
    <t>KS</t>
  </si>
  <si>
    <t>IA</t>
  </si>
  <si>
    <t>AZ</t>
  </si>
  <si>
    <t xml:space="preserve">Loesch, Cheryl </t>
  </si>
  <si>
    <t>Boulier, DeAnn &amp; Niles</t>
  </si>
  <si>
    <t>Sefcik, April &amp; Kaitlyn</t>
  </si>
  <si>
    <t>Edder, Deidre</t>
  </si>
  <si>
    <t>DeSelm, Madelyn</t>
  </si>
  <si>
    <t>More, Gail</t>
  </si>
  <si>
    <t>Moerbe, Kathy</t>
  </si>
  <si>
    <t>Robasciotti, Lori</t>
  </si>
  <si>
    <t>Anderson, Grace</t>
  </si>
  <si>
    <t>Evans, Abigail</t>
  </si>
  <si>
    <t>Knisley, Jacob</t>
  </si>
  <si>
    <t>Fowler, Amanda</t>
  </si>
  <si>
    <t>Bushman, Stephanie</t>
  </si>
  <si>
    <t>Vara, Emily</t>
  </si>
  <si>
    <t>Kneir / Reker, Brenda / Carson &amp; Kainen</t>
  </si>
  <si>
    <t>Medo, Bill</t>
  </si>
  <si>
    <t>Milton, Jackie</t>
  </si>
  <si>
    <t>Holbrook, Angela</t>
  </si>
  <si>
    <t>Olson, Robin</t>
  </si>
  <si>
    <t>Stout, Danica</t>
  </si>
  <si>
    <t>Walkup, Kathrine</t>
  </si>
  <si>
    <t>Clack, Crystal</t>
  </si>
  <si>
    <t>Sultan / Robertson, Meadow &amp; Bethany</t>
  </si>
  <si>
    <t>Becker, Conner</t>
  </si>
  <si>
    <t>Beirau, Gayle</t>
  </si>
  <si>
    <t>Hopkins, Caitlin</t>
  </si>
  <si>
    <t>Petersen, Margaret</t>
  </si>
  <si>
    <t>Wood, Carlie</t>
  </si>
  <si>
    <t>Storm, Alice</t>
  </si>
  <si>
    <t>Jusko, Tayler</t>
  </si>
  <si>
    <t>Grady, Rob &amp; Paula</t>
  </si>
  <si>
    <t>Kuyoth, Daniel</t>
  </si>
  <si>
    <t>Wassom, Claudia</t>
  </si>
  <si>
    <t>Morrison, Carla</t>
  </si>
  <si>
    <t>Bell, Lisa</t>
  </si>
  <si>
    <t>Hillery, Kathy</t>
  </si>
  <si>
    <t>Wood, Laurie</t>
  </si>
  <si>
    <t>Collins, Judy</t>
  </si>
  <si>
    <t>Baldwin, Briana</t>
  </si>
  <si>
    <t>Douglas, Trianna</t>
  </si>
  <si>
    <t>Pienta, Mallory</t>
  </si>
  <si>
    <t>Doling, Maddy</t>
  </si>
  <si>
    <t>Achgill, Helene</t>
  </si>
  <si>
    <t>Freeman, Tracey &amp; Tyrone</t>
  </si>
  <si>
    <t>Moore, Sharon</t>
  </si>
  <si>
    <t>McConnell, Michaeline</t>
  </si>
  <si>
    <t>McCullough, Jan</t>
  </si>
  <si>
    <t>Smith, Angela</t>
  </si>
  <si>
    <t>Olmstead, Rebecca</t>
  </si>
  <si>
    <t>Olson, Cassie</t>
  </si>
  <si>
    <t>Henderson, Amber</t>
  </si>
  <si>
    <t>Petersen, Nicole</t>
  </si>
  <si>
    <t>Turley, Rose-Marie</t>
  </si>
  <si>
    <t>Martin, Karla</t>
  </si>
  <si>
    <t>Robasciotti, Lori &amp; Gillian</t>
  </si>
  <si>
    <t>Deling, Kelsey &amp; Carmen</t>
  </si>
  <si>
    <t>Buell, Steven</t>
  </si>
  <si>
    <t>Roe, Deborah</t>
  </si>
  <si>
    <t>DeVito, Amanda</t>
  </si>
  <si>
    <t>Deer, Steve &amp; Teri</t>
  </si>
  <si>
    <t>Millsap, Lorin</t>
  </si>
  <si>
    <t>Sterner, Teresa</t>
  </si>
  <si>
    <t>Hammond, Becky</t>
  </si>
  <si>
    <t>Moorse, Brittany</t>
  </si>
  <si>
    <t>Williams, Susan</t>
  </si>
  <si>
    <t>Millsap, Nancy</t>
  </si>
  <si>
    <t>Stoeck-Melton, Sophia</t>
  </si>
  <si>
    <t>Robasciotti, Gillian</t>
  </si>
  <si>
    <t>Olmstead, Carolynn</t>
  </si>
  <si>
    <t>Stella, Julie</t>
  </si>
  <si>
    <t>Utz, Amber</t>
  </si>
  <si>
    <t>Perkins, Rebekah</t>
  </si>
  <si>
    <t>Love, Tricia</t>
  </si>
  <si>
    <t>Nichols, Beth</t>
  </si>
  <si>
    <t>Harvill, Ethan</t>
  </si>
  <si>
    <t>Reilly / Ringelstetter, Brenda &amp; Christi</t>
  </si>
  <si>
    <t>Lovely, Tara</t>
  </si>
  <si>
    <t>Williams, Alexandra</t>
  </si>
  <si>
    <t>Younggreen, Kellyjo &amp; Cassidy</t>
  </si>
  <si>
    <t>Maki, Sarah</t>
  </si>
  <si>
    <t>Neveu, Heather</t>
  </si>
  <si>
    <t>Buckalew-Wolfe, Michael</t>
  </si>
  <si>
    <t>Bukovich, Izzy</t>
  </si>
  <si>
    <t>Green, Mandy &amp; David</t>
  </si>
  <si>
    <t>Ennis, Autumn</t>
  </si>
  <si>
    <t>Knecht, Cleva</t>
  </si>
  <si>
    <t>Weaver, Ethan</t>
  </si>
  <si>
    <t xml:space="preserve">Walkup, Rachael </t>
  </si>
  <si>
    <t xml:space="preserve">Newton, Angie </t>
  </si>
  <si>
    <t xml:space="preserve">Tillery, Haley &amp; Melissa </t>
  </si>
  <si>
    <t xml:space="preserve">Davis, Rebecca &amp; Jolaine </t>
  </si>
  <si>
    <t xml:space="preserve">Gebelein, Sharon </t>
  </si>
  <si>
    <t xml:space="preserve">Verschure, Emmaline </t>
  </si>
  <si>
    <t xml:space="preserve">White, Amy </t>
  </si>
  <si>
    <t xml:space="preserve">Ringelstetter, Christi </t>
  </si>
  <si>
    <t xml:space="preserve">Garahan, Joe </t>
  </si>
  <si>
    <t xml:space="preserve">Anderson, Sarah </t>
  </si>
  <si>
    <t xml:space="preserve">Summey, Lisa </t>
  </si>
  <si>
    <t xml:space="preserve">Warren, Sarah </t>
  </si>
  <si>
    <t xml:space="preserve">Nichols, Elisabeth </t>
  </si>
  <si>
    <t xml:space="preserve">Robertson, Dalton </t>
  </si>
  <si>
    <t xml:space="preserve">Moerbe / Wolfe, Kathy &amp; Michael </t>
  </si>
  <si>
    <t>TN</t>
  </si>
  <si>
    <t>MT</t>
  </si>
  <si>
    <t>ID</t>
  </si>
  <si>
    <t>FL</t>
  </si>
  <si>
    <t>MA</t>
  </si>
  <si>
    <t>CT</t>
  </si>
  <si>
    <t>Points_per_Show</t>
  </si>
  <si>
    <t xml:space="preserve">Kalinin, Nikolai </t>
  </si>
  <si>
    <t xml:space="preserve">Wallock, Makayla </t>
  </si>
  <si>
    <t xml:space="preserve">Medo, William </t>
  </si>
  <si>
    <t xml:space="preserve">Wood, Carlie &amp; Laurie </t>
  </si>
  <si>
    <t xml:space="preserve">Millsap, Nancy </t>
  </si>
  <si>
    <t xml:space="preserve">Kneir / Reker, Brenda / Carson &amp; Kainen </t>
  </si>
  <si>
    <t xml:space="preserve">Walkup, Kathrine </t>
  </si>
  <si>
    <t xml:space="preserve">Stella, Julie </t>
  </si>
  <si>
    <t xml:space="preserve">Tomsche, Andrea </t>
  </si>
  <si>
    <t xml:space="preserve">Stout, Danica </t>
  </si>
  <si>
    <t xml:space="preserve">Storm, Alice </t>
  </si>
  <si>
    <t xml:space="preserve">Green, Mandy &amp; David </t>
  </si>
  <si>
    <t xml:space="preserve">Utz, Amber </t>
  </si>
  <si>
    <t xml:space="preserve">Immenschuh, Brenda &amp; Kyleah </t>
  </si>
  <si>
    <t xml:space="preserve">Becker, Heather </t>
  </si>
  <si>
    <t xml:space="preserve">Hopkins, Caitlin </t>
  </si>
  <si>
    <t xml:space="preserve">Love, Tricia </t>
  </si>
  <si>
    <t>StoecklMelton, Sophia</t>
  </si>
  <si>
    <t>Turley, RoseMarie</t>
  </si>
  <si>
    <t>Exhibitors Not Duplicated by year</t>
  </si>
  <si>
    <t>TotalPointsPerExhibitor</t>
  </si>
  <si>
    <t>PointsPerShow</t>
  </si>
  <si>
    <t>Davis, Rebecca &amp; Jolaine</t>
  </si>
  <si>
    <t>Doling / Holbrook, Maddy &amp; Angela</t>
  </si>
  <si>
    <t>Holbrook / Doling, Angela &amp; Maddy</t>
  </si>
  <si>
    <t>Immenschuh, Brenda &amp; Kyleah</t>
  </si>
  <si>
    <t>Kneir, Brenda</t>
  </si>
  <si>
    <t>LeSage, Angel</t>
  </si>
  <si>
    <t>ltz, Jennie</t>
  </si>
  <si>
    <t>Nichols, Elisabeth</t>
  </si>
  <si>
    <t>Oberly, Mat / Jill / Wyatt &amp; Tyler</t>
  </si>
  <si>
    <t>Robertson, Dalton</t>
  </si>
  <si>
    <t>Summers, Andrea</t>
  </si>
  <si>
    <t>Tillery, Haley &amp; Melissa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</si>
</sst>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5A3A-B579-4D35-922D-E9B6915D92EE}">
  <dimension ref="A1:H64"/>
  <sheetViews>
    <sheetView workbookViewId="0">
      <selection activeCell="J5" sqref="J5"/>
    </sheetView>
  </sheetViews>
  <sheetFormatPr defaultRowHeight="14.4" x14ac:dyDescent="0.3"/>
  <cols>
    <col min="2" max="2" width="32.6640625" customWidth="1"/>
    <col min="4" max="4" width="8.88671875" style="5"/>
    <col min="5" max="7" width="8.88671875" style="3"/>
    <col min="8" max="8" width="15" style="5" customWidth="1"/>
  </cols>
  <sheetData>
    <row r="1" spans="1:8" s="2" customFormat="1" x14ac:dyDescent="0.3">
      <c r="A1" s="2" t="s">
        <v>1</v>
      </c>
      <c r="B1" s="2" t="s">
        <v>2</v>
      </c>
      <c r="C1" s="2" t="s">
        <v>7</v>
      </c>
      <c r="D1" s="6" t="s">
        <v>3</v>
      </c>
      <c r="E1" s="4" t="s">
        <v>4</v>
      </c>
      <c r="F1" s="4" t="s">
        <v>5</v>
      </c>
      <c r="G1" s="4" t="s">
        <v>0</v>
      </c>
      <c r="H1" s="6" t="s">
        <v>19</v>
      </c>
    </row>
    <row r="2" spans="1:8" x14ac:dyDescent="0.3">
      <c r="A2">
        <v>2026</v>
      </c>
      <c r="B2" t="s">
        <v>10</v>
      </c>
      <c r="C2" t="s">
        <v>149</v>
      </c>
      <c r="D2" s="5">
        <v>4</v>
      </c>
      <c r="E2" s="3">
        <v>39</v>
      </c>
      <c r="F2" s="3">
        <v>10787</v>
      </c>
      <c r="G2" s="3">
        <v>4</v>
      </c>
      <c r="H2" s="5">
        <f t="shared" ref="H2:H13" si="0">F2/E2</f>
        <v>276.58974358974359</v>
      </c>
    </row>
    <row r="3" spans="1:8" x14ac:dyDescent="0.3">
      <c r="A3">
        <v>2026</v>
      </c>
      <c r="B3" t="s">
        <v>11</v>
      </c>
      <c r="C3" t="s">
        <v>147</v>
      </c>
      <c r="D3" s="5">
        <v>5</v>
      </c>
      <c r="E3" s="3">
        <v>35</v>
      </c>
      <c r="F3" s="3">
        <v>9053</v>
      </c>
      <c r="G3" s="3">
        <v>5</v>
      </c>
      <c r="H3" s="5">
        <f t="shared" si="0"/>
        <v>258.65714285714284</v>
      </c>
    </row>
    <row r="4" spans="1:8" x14ac:dyDescent="0.3">
      <c r="A4">
        <v>2026</v>
      </c>
      <c r="B4" t="s">
        <v>8</v>
      </c>
      <c r="C4" t="s">
        <v>147</v>
      </c>
      <c r="D4" s="5">
        <v>5</v>
      </c>
      <c r="E4" s="3">
        <v>53</v>
      </c>
      <c r="F4" s="3">
        <v>12694</v>
      </c>
      <c r="G4" s="3">
        <v>2</v>
      </c>
      <c r="H4" s="5">
        <f t="shared" si="0"/>
        <v>239.50943396226415</v>
      </c>
    </row>
    <row r="5" spans="1:8" x14ac:dyDescent="0.3">
      <c r="A5">
        <v>2026</v>
      </c>
      <c r="B5" t="s">
        <v>44</v>
      </c>
      <c r="C5" t="s">
        <v>151</v>
      </c>
      <c r="D5" s="5">
        <v>5</v>
      </c>
      <c r="E5" s="3">
        <v>20</v>
      </c>
      <c r="F5" s="3">
        <v>4782</v>
      </c>
      <c r="G5" s="3">
        <v>10</v>
      </c>
      <c r="H5" s="5">
        <f t="shared" si="0"/>
        <v>239.1</v>
      </c>
    </row>
    <row r="6" spans="1:8" x14ac:dyDescent="0.3">
      <c r="A6">
        <v>2026</v>
      </c>
      <c r="B6" t="s">
        <v>9</v>
      </c>
      <c r="C6" t="s">
        <v>143</v>
      </c>
      <c r="D6" s="5">
        <v>7</v>
      </c>
      <c r="E6" s="3">
        <v>48</v>
      </c>
      <c r="F6" s="3">
        <v>11080</v>
      </c>
      <c r="G6" s="3">
        <v>3</v>
      </c>
      <c r="H6" s="5">
        <f t="shared" si="0"/>
        <v>230.83333333333334</v>
      </c>
    </row>
    <row r="7" spans="1:8" x14ac:dyDescent="0.3">
      <c r="A7">
        <v>2026</v>
      </c>
      <c r="B7" t="s">
        <v>105</v>
      </c>
      <c r="C7" t="s">
        <v>146</v>
      </c>
      <c r="D7" s="5">
        <v>5</v>
      </c>
      <c r="E7" s="3">
        <v>3</v>
      </c>
      <c r="F7" s="3">
        <v>681</v>
      </c>
      <c r="G7" s="3">
        <v>47</v>
      </c>
      <c r="H7" s="5">
        <f t="shared" si="0"/>
        <v>227</v>
      </c>
    </row>
    <row r="8" spans="1:8" x14ac:dyDescent="0.3">
      <c r="A8">
        <v>2026</v>
      </c>
      <c r="B8" t="s">
        <v>69</v>
      </c>
      <c r="C8" t="s">
        <v>150</v>
      </c>
      <c r="D8" s="5">
        <v>2</v>
      </c>
      <c r="E8" s="3">
        <v>2</v>
      </c>
      <c r="F8" s="3">
        <v>449</v>
      </c>
      <c r="G8" s="3">
        <v>59</v>
      </c>
      <c r="H8" s="5">
        <f t="shared" si="0"/>
        <v>224.5</v>
      </c>
    </row>
    <row r="9" spans="1:8" x14ac:dyDescent="0.3">
      <c r="A9">
        <v>2026</v>
      </c>
      <c r="B9" t="s">
        <v>16</v>
      </c>
      <c r="C9" t="s">
        <v>148</v>
      </c>
      <c r="D9" s="5">
        <v>7</v>
      </c>
      <c r="E9" s="3">
        <v>8</v>
      </c>
      <c r="F9" s="3">
        <v>1626</v>
      </c>
      <c r="G9" s="3">
        <v>29</v>
      </c>
      <c r="H9" s="5">
        <f t="shared" si="0"/>
        <v>203.25</v>
      </c>
    </row>
    <row r="10" spans="1:8" x14ac:dyDescent="0.3">
      <c r="A10">
        <v>2026</v>
      </c>
      <c r="B10" t="s">
        <v>6</v>
      </c>
      <c r="C10" t="s">
        <v>144</v>
      </c>
      <c r="D10" s="5">
        <v>7</v>
      </c>
      <c r="E10" s="3">
        <v>85</v>
      </c>
      <c r="F10" s="3">
        <v>16788</v>
      </c>
      <c r="G10" s="3">
        <v>1</v>
      </c>
      <c r="H10" s="5">
        <f t="shared" si="0"/>
        <v>197.50588235294117</v>
      </c>
    </row>
    <row r="11" spans="1:8" x14ac:dyDescent="0.3">
      <c r="A11">
        <v>2026</v>
      </c>
      <c r="B11" t="s">
        <v>39</v>
      </c>
      <c r="C11" t="s">
        <v>146</v>
      </c>
      <c r="D11" s="5">
        <v>5</v>
      </c>
      <c r="E11" s="3">
        <v>11</v>
      </c>
      <c r="F11" s="3">
        <v>2135</v>
      </c>
      <c r="G11" s="3">
        <v>21</v>
      </c>
      <c r="H11" s="5">
        <f t="shared" si="0"/>
        <v>194.09090909090909</v>
      </c>
    </row>
    <row r="12" spans="1:8" x14ac:dyDescent="0.3">
      <c r="A12">
        <v>2026</v>
      </c>
      <c r="B12" t="s">
        <v>13</v>
      </c>
      <c r="C12" t="s">
        <v>143</v>
      </c>
      <c r="D12" s="5">
        <v>7</v>
      </c>
      <c r="E12" s="3">
        <v>33</v>
      </c>
      <c r="F12" s="3">
        <v>6069</v>
      </c>
      <c r="G12" s="3">
        <v>7</v>
      </c>
      <c r="H12" s="5">
        <f t="shared" si="0"/>
        <v>183.90909090909091</v>
      </c>
    </row>
    <row r="13" spans="1:8" x14ac:dyDescent="0.3">
      <c r="A13">
        <v>2026</v>
      </c>
      <c r="B13" t="s">
        <v>14</v>
      </c>
      <c r="C13" t="s">
        <v>143</v>
      </c>
      <c r="D13" s="5">
        <v>7</v>
      </c>
      <c r="E13" s="3">
        <v>35</v>
      </c>
      <c r="F13" s="3">
        <v>6068</v>
      </c>
      <c r="G13" s="3">
        <v>8</v>
      </c>
      <c r="H13" s="5">
        <f t="shared" si="0"/>
        <v>173.37142857142857</v>
      </c>
    </row>
    <row r="14" spans="1:8" x14ac:dyDescent="0.3">
      <c r="A14">
        <v>2026</v>
      </c>
      <c r="B14" t="s">
        <v>55</v>
      </c>
      <c r="C14" t="s">
        <v>156</v>
      </c>
      <c r="D14" s="5">
        <v>2</v>
      </c>
      <c r="E14" s="3">
        <v>18</v>
      </c>
      <c r="F14" s="3">
        <v>3000</v>
      </c>
      <c r="G14" s="3">
        <v>14</v>
      </c>
      <c r="H14" s="5">
        <f t="shared" ref="H14:H45" si="1">F14/E14</f>
        <v>166.66666666666666</v>
      </c>
    </row>
    <row r="15" spans="1:8" x14ac:dyDescent="0.3">
      <c r="A15">
        <v>2026</v>
      </c>
      <c r="B15" t="s">
        <v>88</v>
      </c>
      <c r="C15" t="s">
        <v>154</v>
      </c>
      <c r="D15" s="5">
        <v>4</v>
      </c>
      <c r="E15" s="3">
        <v>18</v>
      </c>
      <c r="F15" s="3">
        <v>2987</v>
      </c>
      <c r="G15" s="3">
        <v>15</v>
      </c>
      <c r="H15" s="5">
        <f t="shared" si="1"/>
        <v>165.94444444444446</v>
      </c>
    </row>
    <row r="16" spans="1:8" x14ac:dyDescent="0.3">
      <c r="A16">
        <v>2026</v>
      </c>
      <c r="B16" t="s">
        <v>283</v>
      </c>
      <c r="C16" t="s">
        <v>167</v>
      </c>
      <c r="D16" s="5">
        <v>7</v>
      </c>
      <c r="E16" s="3">
        <v>4</v>
      </c>
      <c r="F16" s="3">
        <v>648</v>
      </c>
      <c r="G16" s="3">
        <v>49</v>
      </c>
      <c r="H16" s="5">
        <f t="shared" si="1"/>
        <v>162</v>
      </c>
    </row>
    <row r="17" spans="1:8" x14ac:dyDescent="0.3">
      <c r="A17">
        <v>2026</v>
      </c>
      <c r="B17" t="s">
        <v>53</v>
      </c>
      <c r="C17" t="s">
        <v>146</v>
      </c>
      <c r="D17" s="5">
        <v>5</v>
      </c>
      <c r="E17" s="3">
        <v>26</v>
      </c>
      <c r="F17" s="3">
        <v>4075</v>
      </c>
      <c r="G17" s="3">
        <v>12</v>
      </c>
      <c r="H17" s="5">
        <f t="shared" si="1"/>
        <v>156.73076923076923</v>
      </c>
    </row>
    <row r="18" spans="1:8" x14ac:dyDescent="0.3">
      <c r="A18">
        <v>2026</v>
      </c>
      <c r="B18" t="s">
        <v>40</v>
      </c>
      <c r="C18" t="s">
        <v>146</v>
      </c>
      <c r="D18" s="5">
        <v>5</v>
      </c>
      <c r="E18" s="3">
        <v>29</v>
      </c>
      <c r="F18" s="3">
        <v>4486</v>
      </c>
      <c r="G18" s="3">
        <v>11</v>
      </c>
      <c r="H18" s="5">
        <f t="shared" si="1"/>
        <v>154.68965517241378</v>
      </c>
    </row>
    <row r="19" spans="1:8" x14ac:dyDescent="0.3">
      <c r="A19">
        <v>2026</v>
      </c>
      <c r="B19" t="s">
        <v>284</v>
      </c>
      <c r="C19" t="s">
        <v>154</v>
      </c>
      <c r="D19" s="5">
        <v>4</v>
      </c>
      <c r="E19" s="3">
        <v>10</v>
      </c>
      <c r="F19" s="3">
        <v>1482</v>
      </c>
      <c r="G19" s="3">
        <v>32</v>
      </c>
      <c r="H19" s="5">
        <f t="shared" si="1"/>
        <v>148.19999999999999</v>
      </c>
    </row>
    <row r="20" spans="1:8" x14ac:dyDescent="0.3">
      <c r="A20">
        <v>2026</v>
      </c>
      <c r="B20" t="s">
        <v>285</v>
      </c>
      <c r="C20" t="s">
        <v>154</v>
      </c>
      <c r="D20" s="5">
        <v>4</v>
      </c>
      <c r="E20" s="3">
        <v>13</v>
      </c>
      <c r="F20" s="3">
        <v>1850</v>
      </c>
      <c r="G20" s="3">
        <v>23</v>
      </c>
      <c r="H20" s="5">
        <f t="shared" si="1"/>
        <v>142.30769230769232</v>
      </c>
    </row>
    <row r="21" spans="1:8" x14ac:dyDescent="0.3">
      <c r="A21">
        <v>2026</v>
      </c>
      <c r="B21" t="s">
        <v>67</v>
      </c>
      <c r="C21" t="s">
        <v>160</v>
      </c>
      <c r="D21" s="5">
        <v>5</v>
      </c>
      <c r="E21" s="3">
        <v>12</v>
      </c>
      <c r="F21" s="3">
        <v>1627</v>
      </c>
      <c r="G21" s="3">
        <v>27</v>
      </c>
      <c r="H21" s="5">
        <f t="shared" si="1"/>
        <v>135.58333333333334</v>
      </c>
    </row>
    <row r="22" spans="1:8" x14ac:dyDescent="0.3">
      <c r="A22">
        <v>2026</v>
      </c>
      <c r="B22" t="s">
        <v>61</v>
      </c>
      <c r="C22" t="s">
        <v>158</v>
      </c>
      <c r="D22" s="5">
        <v>1</v>
      </c>
      <c r="E22" s="3">
        <v>13</v>
      </c>
      <c r="F22" s="3">
        <v>1752</v>
      </c>
      <c r="G22" s="3">
        <v>25</v>
      </c>
      <c r="H22" s="5">
        <f t="shared" si="1"/>
        <v>134.76923076923077</v>
      </c>
    </row>
    <row r="23" spans="1:8" x14ac:dyDescent="0.3">
      <c r="A23">
        <v>2026</v>
      </c>
      <c r="B23" t="s">
        <v>286</v>
      </c>
      <c r="C23" t="s">
        <v>147</v>
      </c>
      <c r="D23" s="5">
        <v>5</v>
      </c>
      <c r="E23" s="3">
        <v>23</v>
      </c>
      <c r="F23" s="3">
        <v>2977</v>
      </c>
      <c r="G23" s="3">
        <v>16</v>
      </c>
      <c r="H23" s="5">
        <f t="shared" si="1"/>
        <v>129.43478260869566</v>
      </c>
    </row>
    <row r="24" spans="1:8" x14ac:dyDescent="0.3">
      <c r="A24">
        <v>2026</v>
      </c>
      <c r="B24" t="s">
        <v>300</v>
      </c>
      <c r="C24" t="s">
        <v>18</v>
      </c>
      <c r="D24" s="5">
        <v>3</v>
      </c>
      <c r="E24" s="3">
        <v>5</v>
      </c>
      <c r="F24" s="3">
        <v>623</v>
      </c>
      <c r="G24" s="3">
        <v>51</v>
      </c>
      <c r="H24" s="5">
        <f t="shared" si="1"/>
        <v>124.6</v>
      </c>
    </row>
    <row r="25" spans="1:8" x14ac:dyDescent="0.3">
      <c r="A25">
        <v>2026</v>
      </c>
      <c r="B25" t="s">
        <v>12</v>
      </c>
      <c r="C25" t="s">
        <v>163</v>
      </c>
      <c r="D25" s="5">
        <v>1</v>
      </c>
      <c r="E25" s="3">
        <v>52</v>
      </c>
      <c r="F25" s="3">
        <v>6337</v>
      </c>
      <c r="G25" s="3">
        <v>6</v>
      </c>
      <c r="H25" s="5">
        <f t="shared" si="1"/>
        <v>121.86538461538461</v>
      </c>
    </row>
    <row r="26" spans="1:8" x14ac:dyDescent="0.3">
      <c r="A26">
        <v>2026</v>
      </c>
      <c r="B26" t="s">
        <v>63</v>
      </c>
      <c r="C26" t="s">
        <v>159</v>
      </c>
      <c r="D26" s="5">
        <v>3</v>
      </c>
      <c r="E26" s="3">
        <v>9</v>
      </c>
      <c r="F26" s="3">
        <v>1090</v>
      </c>
      <c r="G26" s="3">
        <v>38</v>
      </c>
      <c r="H26" s="5">
        <f t="shared" si="1"/>
        <v>121.11111111111111</v>
      </c>
    </row>
    <row r="27" spans="1:8" x14ac:dyDescent="0.3">
      <c r="A27">
        <v>2026</v>
      </c>
      <c r="B27" t="s">
        <v>15</v>
      </c>
      <c r="C27" t="s">
        <v>147</v>
      </c>
      <c r="D27" s="5">
        <v>5</v>
      </c>
      <c r="E27" s="3">
        <v>46</v>
      </c>
      <c r="F27" s="3">
        <v>5187</v>
      </c>
      <c r="G27" s="3">
        <v>9</v>
      </c>
      <c r="H27" s="5">
        <f t="shared" si="1"/>
        <v>112.76086956521739</v>
      </c>
    </row>
    <row r="28" spans="1:8" x14ac:dyDescent="0.3">
      <c r="A28">
        <v>2026</v>
      </c>
      <c r="B28" t="s">
        <v>73</v>
      </c>
      <c r="C28" t="s">
        <v>164</v>
      </c>
      <c r="D28" s="5">
        <v>3</v>
      </c>
      <c r="E28" s="3">
        <v>16</v>
      </c>
      <c r="F28" s="3">
        <v>1729</v>
      </c>
      <c r="G28" s="3">
        <v>26</v>
      </c>
      <c r="H28" s="5">
        <f t="shared" si="1"/>
        <v>108.0625</v>
      </c>
    </row>
    <row r="29" spans="1:8" x14ac:dyDescent="0.3">
      <c r="A29">
        <v>2026</v>
      </c>
      <c r="B29" t="s">
        <v>48</v>
      </c>
      <c r="C29" t="s">
        <v>276</v>
      </c>
      <c r="D29" s="5">
        <v>6</v>
      </c>
      <c r="E29" s="3">
        <v>4</v>
      </c>
      <c r="F29" s="3">
        <v>411</v>
      </c>
      <c r="G29" s="3">
        <v>63</v>
      </c>
      <c r="H29" s="5">
        <f t="shared" si="1"/>
        <v>102.75</v>
      </c>
    </row>
    <row r="30" spans="1:8" x14ac:dyDescent="0.3">
      <c r="A30">
        <v>2026</v>
      </c>
      <c r="B30" t="s">
        <v>46</v>
      </c>
      <c r="C30" t="s">
        <v>152</v>
      </c>
      <c r="D30" s="5">
        <v>1</v>
      </c>
      <c r="E30" s="3">
        <v>22</v>
      </c>
      <c r="F30" s="3">
        <v>2173</v>
      </c>
      <c r="G30" s="3">
        <v>20</v>
      </c>
      <c r="H30" s="5">
        <f t="shared" si="1"/>
        <v>98.772727272727266</v>
      </c>
    </row>
    <row r="31" spans="1:8" x14ac:dyDescent="0.3">
      <c r="A31">
        <v>2026</v>
      </c>
      <c r="B31" t="s">
        <v>84</v>
      </c>
      <c r="C31" t="s">
        <v>165</v>
      </c>
      <c r="D31" s="5">
        <v>1</v>
      </c>
      <c r="E31" s="3">
        <v>11</v>
      </c>
      <c r="F31" s="3">
        <v>1043</v>
      </c>
      <c r="G31" s="3">
        <v>40</v>
      </c>
      <c r="H31" s="5">
        <f t="shared" si="1"/>
        <v>94.818181818181813</v>
      </c>
    </row>
    <row r="32" spans="1:8" x14ac:dyDescent="0.3">
      <c r="A32">
        <v>2026</v>
      </c>
      <c r="B32" t="s">
        <v>49</v>
      </c>
      <c r="C32" t="s">
        <v>152</v>
      </c>
      <c r="D32" s="5">
        <v>1</v>
      </c>
      <c r="E32" s="3">
        <v>12</v>
      </c>
      <c r="F32" s="3">
        <v>1124</v>
      </c>
      <c r="G32" s="3">
        <v>37</v>
      </c>
      <c r="H32" s="5">
        <f t="shared" si="1"/>
        <v>93.666666666666671</v>
      </c>
    </row>
    <row r="33" spans="1:8" x14ac:dyDescent="0.3">
      <c r="A33">
        <v>2026</v>
      </c>
      <c r="B33" t="s">
        <v>301</v>
      </c>
      <c r="C33" t="s">
        <v>17</v>
      </c>
      <c r="D33" s="5">
        <v>7</v>
      </c>
      <c r="E33" s="3">
        <v>13</v>
      </c>
      <c r="F33" s="3">
        <v>1164</v>
      </c>
      <c r="G33" s="3">
        <v>36</v>
      </c>
      <c r="H33" s="5">
        <f t="shared" si="1"/>
        <v>89.538461538461533</v>
      </c>
    </row>
    <row r="34" spans="1:8" x14ac:dyDescent="0.3">
      <c r="A34">
        <v>2026</v>
      </c>
      <c r="B34" t="s">
        <v>43</v>
      </c>
      <c r="C34" t="s">
        <v>150</v>
      </c>
      <c r="D34" s="5">
        <v>2</v>
      </c>
      <c r="E34" s="3">
        <v>29</v>
      </c>
      <c r="F34" s="3">
        <v>2458</v>
      </c>
      <c r="G34" s="3">
        <v>18</v>
      </c>
      <c r="H34" s="5">
        <f t="shared" si="1"/>
        <v>84.758620689655174</v>
      </c>
    </row>
    <row r="35" spans="1:8" x14ac:dyDescent="0.3">
      <c r="A35">
        <v>2026</v>
      </c>
      <c r="B35" t="s">
        <v>287</v>
      </c>
      <c r="C35" t="s">
        <v>158</v>
      </c>
      <c r="D35" s="5">
        <v>1</v>
      </c>
      <c r="E35" s="3">
        <v>7</v>
      </c>
      <c r="F35" s="3">
        <v>537</v>
      </c>
      <c r="G35" s="3">
        <v>55</v>
      </c>
      <c r="H35" s="5">
        <f t="shared" si="1"/>
        <v>76.714285714285708</v>
      </c>
    </row>
    <row r="36" spans="1:8" x14ac:dyDescent="0.3">
      <c r="A36">
        <v>2026</v>
      </c>
      <c r="B36" t="s">
        <v>42</v>
      </c>
      <c r="C36" t="s">
        <v>147</v>
      </c>
      <c r="D36" s="5">
        <v>5</v>
      </c>
      <c r="E36" s="3">
        <v>30</v>
      </c>
      <c r="F36" s="3">
        <v>2300</v>
      </c>
      <c r="G36" s="3">
        <v>19</v>
      </c>
      <c r="H36" s="5">
        <f t="shared" si="1"/>
        <v>76.666666666666671</v>
      </c>
    </row>
    <row r="37" spans="1:8" x14ac:dyDescent="0.3">
      <c r="A37">
        <v>2026</v>
      </c>
      <c r="B37" t="s">
        <v>45</v>
      </c>
      <c r="C37" t="s">
        <v>147</v>
      </c>
      <c r="D37" s="5">
        <v>5</v>
      </c>
      <c r="E37" s="3">
        <v>46</v>
      </c>
      <c r="F37" s="3">
        <v>3266</v>
      </c>
      <c r="G37" s="3">
        <v>13</v>
      </c>
      <c r="H37" s="5">
        <f t="shared" si="1"/>
        <v>71</v>
      </c>
    </row>
    <row r="38" spans="1:8" x14ac:dyDescent="0.3">
      <c r="A38">
        <v>2026</v>
      </c>
      <c r="B38" t="s">
        <v>288</v>
      </c>
      <c r="C38" t="s">
        <v>155</v>
      </c>
      <c r="D38" s="5">
        <v>4</v>
      </c>
      <c r="E38" s="3">
        <v>14</v>
      </c>
      <c r="F38" s="3">
        <v>971</v>
      </c>
      <c r="G38" s="3">
        <v>42</v>
      </c>
      <c r="H38" s="5">
        <f t="shared" si="1"/>
        <v>69.357142857142861</v>
      </c>
    </row>
    <row r="39" spans="1:8" x14ac:dyDescent="0.3">
      <c r="A39">
        <v>2026</v>
      </c>
      <c r="B39" t="s">
        <v>125</v>
      </c>
      <c r="C39" t="s">
        <v>163</v>
      </c>
      <c r="D39" s="5">
        <v>1</v>
      </c>
      <c r="E39" s="3">
        <v>24</v>
      </c>
      <c r="F39" s="3">
        <v>1626</v>
      </c>
      <c r="G39" s="3">
        <v>28</v>
      </c>
      <c r="H39" s="5">
        <f t="shared" si="1"/>
        <v>67.75</v>
      </c>
    </row>
    <row r="40" spans="1:8" x14ac:dyDescent="0.3">
      <c r="A40">
        <v>2026</v>
      </c>
      <c r="B40" t="s">
        <v>289</v>
      </c>
      <c r="C40" t="s">
        <v>143</v>
      </c>
      <c r="D40" s="5">
        <v>7</v>
      </c>
      <c r="E40" s="3">
        <v>19</v>
      </c>
      <c r="F40" s="3">
        <v>1275</v>
      </c>
      <c r="G40" s="3">
        <v>35</v>
      </c>
      <c r="H40" s="5">
        <f t="shared" si="1"/>
        <v>67.10526315789474</v>
      </c>
    </row>
    <row r="41" spans="1:8" x14ac:dyDescent="0.3">
      <c r="A41">
        <v>2026</v>
      </c>
      <c r="B41" t="s">
        <v>290</v>
      </c>
      <c r="C41" t="s">
        <v>157</v>
      </c>
      <c r="D41" s="5">
        <v>6</v>
      </c>
      <c r="E41" s="3">
        <v>24</v>
      </c>
      <c r="F41" s="3">
        <v>1597</v>
      </c>
      <c r="G41" s="3">
        <v>30</v>
      </c>
      <c r="H41" s="5">
        <f t="shared" si="1"/>
        <v>66.541666666666671</v>
      </c>
    </row>
    <row r="42" spans="1:8" x14ac:dyDescent="0.3">
      <c r="A42">
        <v>2026</v>
      </c>
      <c r="B42" t="s">
        <v>94</v>
      </c>
      <c r="C42" t="s">
        <v>160</v>
      </c>
      <c r="D42" s="5">
        <v>5</v>
      </c>
      <c r="E42" s="3">
        <v>11</v>
      </c>
      <c r="F42" s="3">
        <v>717</v>
      </c>
      <c r="G42" s="3">
        <v>46</v>
      </c>
      <c r="H42" s="5">
        <f t="shared" si="1"/>
        <v>65.181818181818187</v>
      </c>
    </row>
    <row r="43" spans="1:8" x14ac:dyDescent="0.3">
      <c r="A43">
        <v>2026</v>
      </c>
      <c r="B43" t="s">
        <v>291</v>
      </c>
      <c r="C43" t="s">
        <v>159</v>
      </c>
      <c r="D43" s="5">
        <v>3</v>
      </c>
      <c r="E43" s="3">
        <v>10</v>
      </c>
      <c r="F43" s="3">
        <v>644</v>
      </c>
      <c r="G43" s="3">
        <v>50</v>
      </c>
      <c r="H43" s="5">
        <f t="shared" si="1"/>
        <v>64.400000000000006</v>
      </c>
    </row>
    <row r="44" spans="1:8" x14ac:dyDescent="0.3">
      <c r="A44">
        <v>2026</v>
      </c>
      <c r="B44" t="s">
        <v>292</v>
      </c>
      <c r="C44" t="s">
        <v>147</v>
      </c>
      <c r="D44" s="5">
        <v>5</v>
      </c>
      <c r="E44" s="3">
        <v>27</v>
      </c>
      <c r="F44" s="3">
        <v>1593</v>
      </c>
      <c r="G44" s="3">
        <v>31</v>
      </c>
      <c r="H44" s="5">
        <f t="shared" si="1"/>
        <v>59</v>
      </c>
    </row>
    <row r="45" spans="1:8" x14ac:dyDescent="0.3">
      <c r="A45">
        <v>2026</v>
      </c>
      <c r="B45" t="s">
        <v>74</v>
      </c>
      <c r="C45" t="s">
        <v>159</v>
      </c>
      <c r="D45" s="5">
        <v>3</v>
      </c>
      <c r="E45" s="3">
        <v>23</v>
      </c>
      <c r="F45" s="3">
        <v>1326</v>
      </c>
      <c r="G45" s="3">
        <v>34</v>
      </c>
      <c r="H45" s="5">
        <f t="shared" si="1"/>
        <v>57.652173913043477</v>
      </c>
    </row>
    <row r="46" spans="1:8" x14ac:dyDescent="0.3">
      <c r="A46">
        <v>2026</v>
      </c>
      <c r="B46" t="s">
        <v>112</v>
      </c>
      <c r="C46" t="s">
        <v>158</v>
      </c>
      <c r="D46" s="5">
        <v>1</v>
      </c>
      <c r="E46" s="3">
        <v>12</v>
      </c>
      <c r="F46" s="3">
        <v>653</v>
      </c>
      <c r="G46" s="3">
        <v>48</v>
      </c>
      <c r="H46" s="5">
        <f t="shared" ref="H46:H64" si="2">F46/E46</f>
        <v>54.416666666666664</v>
      </c>
    </row>
    <row r="47" spans="1:8" x14ac:dyDescent="0.3">
      <c r="A47">
        <v>2026</v>
      </c>
      <c r="B47" t="s">
        <v>293</v>
      </c>
      <c r="C47" t="s">
        <v>144</v>
      </c>
      <c r="D47" s="5">
        <v>7</v>
      </c>
      <c r="E47" s="3">
        <v>47</v>
      </c>
      <c r="F47" s="3">
        <v>2504</v>
      </c>
      <c r="G47" s="3">
        <v>17</v>
      </c>
      <c r="H47" s="5">
        <f t="shared" si="2"/>
        <v>53.276595744680854</v>
      </c>
    </row>
    <row r="48" spans="1:8" x14ac:dyDescent="0.3">
      <c r="A48">
        <v>2026</v>
      </c>
      <c r="B48" t="s">
        <v>294</v>
      </c>
      <c r="C48" t="s">
        <v>153</v>
      </c>
      <c r="D48" s="5">
        <v>6</v>
      </c>
      <c r="E48" s="3">
        <v>39</v>
      </c>
      <c r="F48" s="3">
        <v>2057</v>
      </c>
      <c r="G48" s="3">
        <v>22</v>
      </c>
      <c r="H48" s="5">
        <f t="shared" si="2"/>
        <v>52.743589743589745</v>
      </c>
    </row>
    <row r="49" spans="1:8" x14ac:dyDescent="0.3">
      <c r="A49">
        <v>2026</v>
      </c>
      <c r="B49" t="s">
        <v>295</v>
      </c>
      <c r="C49" t="s">
        <v>154</v>
      </c>
      <c r="D49" s="5">
        <v>4</v>
      </c>
      <c r="E49" s="3">
        <v>8</v>
      </c>
      <c r="F49" s="3">
        <v>421</v>
      </c>
      <c r="G49" s="3">
        <v>62</v>
      </c>
      <c r="H49" s="5">
        <f t="shared" si="2"/>
        <v>52.625</v>
      </c>
    </row>
    <row r="50" spans="1:8" x14ac:dyDescent="0.3">
      <c r="A50">
        <v>2026</v>
      </c>
      <c r="B50" t="s">
        <v>77</v>
      </c>
      <c r="C50" t="s">
        <v>149</v>
      </c>
      <c r="D50" s="5">
        <v>4</v>
      </c>
      <c r="E50" s="3">
        <v>20</v>
      </c>
      <c r="F50" s="3">
        <v>1044</v>
      </c>
      <c r="G50" s="3">
        <v>39</v>
      </c>
      <c r="H50" s="5">
        <f t="shared" si="2"/>
        <v>52.2</v>
      </c>
    </row>
    <row r="51" spans="1:8" x14ac:dyDescent="0.3">
      <c r="A51">
        <v>2026</v>
      </c>
      <c r="B51" t="s">
        <v>296</v>
      </c>
      <c r="C51" t="s">
        <v>171</v>
      </c>
      <c r="D51" s="5">
        <v>3</v>
      </c>
      <c r="E51" s="3">
        <v>9</v>
      </c>
      <c r="F51" s="3">
        <v>467</v>
      </c>
      <c r="G51" s="3">
        <v>58</v>
      </c>
      <c r="H51" s="5">
        <f t="shared" si="2"/>
        <v>51.888888888888886</v>
      </c>
    </row>
    <row r="52" spans="1:8" x14ac:dyDescent="0.3">
      <c r="A52">
        <v>2026</v>
      </c>
      <c r="B52" t="s">
        <v>78</v>
      </c>
      <c r="C52" t="s">
        <v>150</v>
      </c>
      <c r="D52" s="5">
        <v>2</v>
      </c>
      <c r="E52" s="3">
        <v>10</v>
      </c>
      <c r="F52" s="3">
        <v>440</v>
      </c>
      <c r="G52" s="3">
        <v>60</v>
      </c>
      <c r="H52" s="5">
        <f t="shared" si="2"/>
        <v>44</v>
      </c>
    </row>
    <row r="53" spans="1:8" x14ac:dyDescent="0.3">
      <c r="A53">
        <v>2026</v>
      </c>
      <c r="B53" t="s">
        <v>47</v>
      </c>
      <c r="C53" t="s">
        <v>153</v>
      </c>
      <c r="D53" s="5">
        <v>6</v>
      </c>
      <c r="E53" s="3">
        <v>31</v>
      </c>
      <c r="F53" s="3">
        <v>1362</v>
      </c>
      <c r="G53" s="3">
        <v>33</v>
      </c>
      <c r="H53" s="5">
        <f t="shared" si="2"/>
        <v>43.935483870967744</v>
      </c>
    </row>
    <row r="54" spans="1:8" x14ac:dyDescent="0.3">
      <c r="A54">
        <v>2026</v>
      </c>
      <c r="B54" t="s">
        <v>59</v>
      </c>
      <c r="C54" t="s">
        <v>147</v>
      </c>
      <c r="D54" s="5">
        <v>5</v>
      </c>
      <c r="E54" s="3">
        <v>41</v>
      </c>
      <c r="F54" s="3">
        <v>1801</v>
      </c>
      <c r="G54" s="3">
        <v>24</v>
      </c>
      <c r="H54" s="5">
        <f t="shared" si="2"/>
        <v>43.926829268292686</v>
      </c>
    </row>
    <row r="55" spans="1:8" x14ac:dyDescent="0.3">
      <c r="A55">
        <v>2026</v>
      </c>
      <c r="B55" t="s">
        <v>57</v>
      </c>
      <c r="C55" t="s">
        <v>150</v>
      </c>
      <c r="D55" s="5">
        <v>2</v>
      </c>
      <c r="E55" s="3">
        <v>14</v>
      </c>
      <c r="F55" s="3">
        <v>578</v>
      </c>
      <c r="G55" s="3">
        <v>53</v>
      </c>
      <c r="H55" s="5">
        <f t="shared" si="2"/>
        <v>41.285714285714285</v>
      </c>
    </row>
    <row r="56" spans="1:8" x14ac:dyDescent="0.3">
      <c r="A56">
        <v>2026</v>
      </c>
      <c r="B56" t="s">
        <v>56</v>
      </c>
      <c r="C56" t="s">
        <v>157</v>
      </c>
      <c r="D56" s="5">
        <v>6</v>
      </c>
      <c r="E56" s="3">
        <v>25</v>
      </c>
      <c r="F56" s="3">
        <v>969</v>
      </c>
      <c r="G56" s="3">
        <v>43</v>
      </c>
      <c r="H56" s="5">
        <f t="shared" si="2"/>
        <v>38.76</v>
      </c>
    </row>
    <row r="57" spans="1:8" x14ac:dyDescent="0.3">
      <c r="A57">
        <v>2026</v>
      </c>
      <c r="B57" t="s">
        <v>297</v>
      </c>
      <c r="C57" t="s">
        <v>159</v>
      </c>
      <c r="D57" s="5">
        <v>3</v>
      </c>
      <c r="E57" s="3">
        <v>16</v>
      </c>
      <c r="F57" s="3">
        <v>601</v>
      </c>
      <c r="G57" s="3">
        <v>52</v>
      </c>
      <c r="H57" s="5">
        <f t="shared" si="2"/>
        <v>37.5625</v>
      </c>
    </row>
    <row r="58" spans="1:8" x14ac:dyDescent="0.3">
      <c r="A58">
        <v>2026</v>
      </c>
      <c r="B58" t="s">
        <v>298</v>
      </c>
      <c r="C58" t="s">
        <v>18</v>
      </c>
      <c r="D58" s="5">
        <v>3</v>
      </c>
      <c r="E58" s="3">
        <v>16</v>
      </c>
      <c r="F58" s="3">
        <v>523</v>
      </c>
      <c r="G58" s="3">
        <v>56</v>
      </c>
      <c r="H58" s="5">
        <f t="shared" si="2"/>
        <v>32.6875</v>
      </c>
    </row>
    <row r="59" spans="1:8" x14ac:dyDescent="0.3">
      <c r="A59">
        <v>2026</v>
      </c>
      <c r="B59" t="s">
        <v>89</v>
      </c>
      <c r="C59" t="s">
        <v>161</v>
      </c>
      <c r="D59" s="5">
        <v>1</v>
      </c>
      <c r="E59" s="3">
        <v>29</v>
      </c>
      <c r="F59" s="3">
        <v>872</v>
      </c>
      <c r="G59" s="3">
        <v>44</v>
      </c>
      <c r="H59" s="5">
        <f t="shared" si="2"/>
        <v>30.068965517241381</v>
      </c>
    </row>
    <row r="60" spans="1:8" x14ac:dyDescent="0.3">
      <c r="A60">
        <v>2026</v>
      </c>
      <c r="B60" t="s">
        <v>117</v>
      </c>
      <c r="C60" t="s">
        <v>161</v>
      </c>
      <c r="D60" s="5">
        <v>1</v>
      </c>
      <c r="E60" s="3">
        <v>35</v>
      </c>
      <c r="F60" s="3">
        <v>984</v>
      </c>
      <c r="G60" s="3">
        <v>41</v>
      </c>
      <c r="H60" s="5">
        <f t="shared" si="2"/>
        <v>28.114285714285714</v>
      </c>
    </row>
    <row r="61" spans="1:8" x14ac:dyDescent="0.3">
      <c r="A61">
        <v>2026</v>
      </c>
      <c r="B61" t="s">
        <v>83</v>
      </c>
      <c r="C61" t="s">
        <v>143</v>
      </c>
      <c r="D61" s="5">
        <v>7</v>
      </c>
      <c r="E61" s="3">
        <v>17</v>
      </c>
      <c r="F61" s="3">
        <v>438</v>
      </c>
      <c r="G61" s="3">
        <v>61</v>
      </c>
      <c r="H61" s="5">
        <f t="shared" si="2"/>
        <v>25.764705882352942</v>
      </c>
    </row>
    <row r="62" spans="1:8" x14ac:dyDescent="0.3">
      <c r="A62">
        <v>2026</v>
      </c>
      <c r="B62" t="s">
        <v>85</v>
      </c>
      <c r="C62" t="s">
        <v>147</v>
      </c>
      <c r="D62" s="5">
        <v>5</v>
      </c>
      <c r="E62" s="3">
        <v>23</v>
      </c>
      <c r="F62" s="3">
        <v>575</v>
      </c>
      <c r="G62" s="3">
        <v>54</v>
      </c>
      <c r="H62" s="5">
        <f t="shared" si="2"/>
        <v>25</v>
      </c>
    </row>
    <row r="63" spans="1:8" x14ac:dyDescent="0.3">
      <c r="A63">
        <v>2026</v>
      </c>
      <c r="B63" t="s">
        <v>109</v>
      </c>
      <c r="C63" t="s">
        <v>144</v>
      </c>
      <c r="D63" s="5">
        <v>7</v>
      </c>
      <c r="E63" s="3">
        <v>33</v>
      </c>
      <c r="F63" s="3">
        <v>788</v>
      </c>
      <c r="G63" s="3">
        <v>45</v>
      </c>
      <c r="H63" s="5">
        <f t="shared" si="2"/>
        <v>23.878787878787879</v>
      </c>
    </row>
    <row r="64" spans="1:8" x14ac:dyDescent="0.3">
      <c r="A64">
        <v>2026</v>
      </c>
      <c r="B64" t="s">
        <v>299</v>
      </c>
      <c r="C64" t="s">
        <v>163</v>
      </c>
      <c r="D64" s="5">
        <v>1</v>
      </c>
      <c r="E64" s="3">
        <v>23</v>
      </c>
      <c r="F64" s="3">
        <v>469</v>
      </c>
      <c r="G64" s="3">
        <v>57</v>
      </c>
      <c r="H64" s="5">
        <f t="shared" si="2"/>
        <v>20.391304347826086</v>
      </c>
    </row>
  </sheetData>
  <autoFilter ref="A1:H64" xr:uid="{8B4D5A3A-B579-4D35-922D-E9B6915D92EE}">
    <sortState xmlns:xlrd2="http://schemas.microsoft.com/office/spreadsheetml/2017/richdata2" ref="A14:H64">
      <sortCondition descending="1" ref="H2:H64"/>
    </sortState>
  </autoFilter>
  <sortState xmlns:xlrd2="http://schemas.microsoft.com/office/spreadsheetml/2017/richdata2" ref="A2:H66">
    <sortCondition descending="1" ref="H1:H6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2B46-EC76-492D-B97B-80688B244242}">
  <sheetPr filterMode="1"/>
  <dimension ref="A1:H131"/>
  <sheetViews>
    <sheetView workbookViewId="0">
      <selection activeCell="A4" sqref="A4:H129"/>
    </sheetView>
  </sheetViews>
  <sheetFormatPr defaultRowHeight="14.4" x14ac:dyDescent="0.3"/>
  <cols>
    <col min="1" max="1" width="8.88671875" style="3"/>
    <col min="2" max="2" width="46.5546875" customWidth="1"/>
    <col min="4" max="7" width="8.88671875" style="3"/>
    <col min="8" max="8" width="15.77734375" style="3" customWidth="1"/>
  </cols>
  <sheetData>
    <row r="1" spans="1:8" x14ac:dyDescent="0.3">
      <c r="A1" s="4" t="s">
        <v>1</v>
      </c>
      <c r="B1" s="2" t="s">
        <v>2</v>
      </c>
      <c r="C1" s="2" t="s">
        <v>7</v>
      </c>
      <c r="D1" s="4" t="s">
        <v>3</v>
      </c>
      <c r="E1" s="4" t="s">
        <v>4</v>
      </c>
      <c r="F1" s="4" t="s">
        <v>5</v>
      </c>
      <c r="G1" s="4" t="s">
        <v>0</v>
      </c>
      <c r="H1" s="4" t="s">
        <v>282</v>
      </c>
    </row>
    <row r="2" spans="1:8" hidden="1" x14ac:dyDescent="0.3">
      <c r="A2" s="3">
        <v>2025</v>
      </c>
      <c r="B2" t="s">
        <v>205</v>
      </c>
      <c r="C2" t="s">
        <v>148</v>
      </c>
      <c r="D2" s="3">
        <v>7</v>
      </c>
      <c r="E2" s="3">
        <v>1</v>
      </c>
      <c r="F2" s="3">
        <v>1193</v>
      </c>
      <c r="G2" s="3">
        <v>40</v>
      </c>
      <c r="H2" s="5">
        <f t="shared" ref="H2:H33" si="0">F2/E2</f>
        <v>1193</v>
      </c>
    </row>
    <row r="3" spans="1:8" hidden="1" x14ac:dyDescent="0.3">
      <c r="A3" s="3">
        <v>2025</v>
      </c>
      <c r="B3" t="s">
        <v>189</v>
      </c>
      <c r="C3" t="s">
        <v>154</v>
      </c>
      <c r="D3" s="3">
        <v>3</v>
      </c>
      <c r="E3" s="3">
        <v>7</v>
      </c>
      <c r="F3" s="3">
        <v>1928</v>
      </c>
      <c r="G3" s="3">
        <v>24</v>
      </c>
      <c r="H3" s="5">
        <f t="shared" si="0"/>
        <v>275.42857142857144</v>
      </c>
    </row>
    <row r="4" spans="1:8" x14ac:dyDescent="0.3">
      <c r="A4" s="3">
        <v>2025</v>
      </c>
      <c r="B4" t="s">
        <v>26</v>
      </c>
      <c r="C4" t="s">
        <v>156</v>
      </c>
      <c r="D4" s="3">
        <v>4</v>
      </c>
      <c r="E4" s="3">
        <v>30</v>
      </c>
      <c r="F4" s="3">
        <v>8220</v>
      </c>
      <c r="G4" s="3">
        <v>6</v>
      </c>
      <c r="H4" s="5">
        <f t="shared" si="0"/>
        <v>274</v>
      </c>
    </row>
    <row r="5" spans="1:8" hidden="1" x14ac:dyDescent="0.3">
      <c r="A5" s="3">
        <v>2025</v>
      </c>
      <c r="B5" t="s">
        <v>28</v>
      </c>
      <c r="C5" t="s">
        <v>143</v>
      </c>
      <c r="D5" s="3">
        <v>9</v>
      </c>
      <c r="E5" s="3">
        <v>28</v>
      </c>
      <c r="F5" s="3">
        <v>7579</v>
      </c>
      <c r="G5" s="3">
        <v>8</v>
      </c>
      <c r="H5" s="5">
        <f t="shared" si="0"/>
        <v>270.67857142857144</v>
      </c>
    </row>
    <row r="6" spans="1:8" hidden="1" x14ac:dyDescent="0.3">
      <c r="A6" s="3">
        <v>2025</v>
      </c>
      <c r="B6" t="s">
        <v>24</v>
      </c>
      <c r="C6" t="s">
        <v>146</v>
      </c>
      <c r="D6" s="3">
        <v>8</v>
      </c>
      <c r="E6" s="3">
        <v>34</v>
      </c>
      <c r="F6" s="3">
        <v>9111</v>
      </c>
      <c r="G6" s="3">
        <v>4</v>
      </c>
      <c r="H6" s="5">
        <f t="shared" si="0"/>
        <v>267.97058823529414</v>
      </c>
    </row>
    <row r="7" spans="1:8" hidden="1" x14ac:dyDescent="0.3">
      <c r="A7" s="3">
        <v>2025</v>
      </c>
      <c r="B7" t="s">
        <v>23</v>
      </c>
      <c r="C7" t="s">
        <v>143</v>
      </c>
      <c r="D7" s="3">
        <v>9</v>
      </c>
      <c r="E7" s="3">
        <v>39</v>
      </c>
      <c r="F7" s="3">
        <v>10025</v>
      </c>
      <c r="G7" s="3">
        <v>3</v>
      </c>
      <c r="H7" s="5">
        <f t="shared" si="0"/>
        <v>257.05128205128204</v>
      </c>
    </row>
    <row r="8" spans="1:8" hidden="1" x14ac:dyDescent="0.3">
      <c r="A8" s="3">
        <v>2025</v>
      </c>
      <c r="B8" t="s">
        <v>6</v>
      </c>
      <c r="C8" t="s">
        <v>144</v>
      </c>
      <c r="D8" s="3">
        <v>7</v>
      </c>
      <c r="E8" s="3">
        <v>78</v>
      </c>
      <c r="F8" s="3">
        <v>18742</v>
      </c>
      <c r="G8" s="3">
        <v>1</v>
      </c>
      <c r="H8" s="5">
        <f t="shared" si="0"/>
        <v>240.28205128205127</v>
      </c>
    </row>
    <row r="9" spans="1:8" hidden="1" x14ac:dyDescent="0.3">
      <c r="A9" s="3">
        <v>2025</v>
      </c>
      <c r="B9" t="s">
        <v>27</v>
      </c>
      <c r="C9" t="s">
        <v>143</v>
      </c>
      <c r="D9" s="3">
        <v>9</v>
      </c>
      <c r="E9" s="3">
        <v>33</v>
      </c>
      <c r="F9" s="3">
        <v>7647</v>
      </c>
      <c r="G9" s="3">
        <v>7</v>
      </c>
      <c r="H9" s="5">
        <f t="shared" si="0"/>
        <v>231.72727272727272</v>
      </c>
    </row>
    <row r="10" spans="1:8" hidden="1" x14ac:dyDescent="0.3">
      <c r="A10" s="3">
        <v>2025</v>
      </c>
      <c r="B10" t="s">
        <v>22</v>
      </c>
      <c r="C10" t="s">
        <v>147</v>
      </c>
      <c r="D10" s="3">
        <v>8</v>
      </c>
      <c r="E10" s="3">
        <v>50</v>
      </c>
      <c r="F10" s="3">
        <v>10966</v>
      </c>
      <c r="G10" s="3">
        <v>2</v>
      </c>
      <c r="H10" s="5">
        <f t="shared" si="0"/>
        <v>219.32</v>
      </c>
    </row>
    <row r="11" spans="1:8" hidden="1" x14ac:dyDescent="0.3">
      <c r="A11" s="3">
        <v>2025</v>
      </c>
      <c r="B11" t="s">
        <v>29</v>
      </c>
      <c r="C11" t="s">
        <v>149</v>
      </c>
      <c r="D11" s="3">
        <v>5</v>
      </c>
      <c r="E11" s="3">
        <v>31</v>
      </c>
      <c r="F11" s="3">
        <v>6787</v>
      </c>
      <c r="G11" s="3">
        <v>9</v>
      </c>
      <c r="H11" s="5">
        <f t="shared" si="0"/>
        <v>218.93548387096774</v>
      </c>
    </row>
    <row r="12" spans="1:8" hidden="1" x14ac:dyDescent="0.3">
      <c r="A12" s="3">
        <v>2025</v>
      </c>
      <c r="B12" t="s">
        <v>175</v>
      </c>
      <c r="C12" t="s">
        <v>146</v>
      </c>
      <c r="D12" s="3">
        <v>8</v>
      </c>
      <c r="E12" s="3">
        <v>16</v>
      </c>
      <c r="F12" s="3">
        <v>2966</v>
      </c>
      <c r="G12" s="3">
        <v>19</v>
      </c>
      <c r="H12" s="5">
        <f t="shared" si="0"/>
        <v>185.375</v>
      </c>
    </row>
    <row r="13" spans="1:8" hidden="1" x14ac:dyDescent="0.3">
      <c r="A13" s="3">
        <v>2025</v>
      </c>
      <c r="B13" t="s">
        <v>178</v>
      </c>
      <c r="C13" t="s">
        <v>146</v>
      </c>
      <c r="D13" s="3">
        <v>8</v>
      </c>
      <c r="E13" s="3">
        <v>29</v>
      </c>
      <c r="F13" s="3">
        <v>5277</v>
      </c>
      <c r="G13" s="3">
        <v>12</v>
      </c>
      <c r="H13" s="5">
        <f t="shared" si="0"/>
        <v>181.9655172413793</v>
      </c>
    </row>
    <row r="14" spans="1:8" hidden="1" x14ac:dyDescent="0.3">
      <c r="A14" s="3">
        <v>2025</v>
      </c>
      <c r="B14" t="s">
        <v>198</v>
      </c>
      <c r="C14" t="s">
        <v>149</v>
      </c>
      <c r="D14" s="3">
        <v>5</v>
      </c>
      <c r="E14" s="3">
        <v>8</v>
      </c>
      <c r="F14" s="3">
        <v>1389</v>
      </c>
      <c r="G14" s="3">
        <v>33</v>
      </c>
      <c r="H14" s="5">
        <f t="shared" si="0"/>
        <v>173.625</v>
      </c>
    </row>
    <row r="15" spans="1:8" hidden="1" x14ac:dyDescent="0.3">
      <c r="A15" s="3">
        <v>2025</v>
      </c>
      <c r="B15" t="s">
        <v>177</v>
      </c>
      <c r="C15" t="s">
        <v>145</v>
      </c>
      <c r="D15" s="3">
        <v>9</v>
      </c>
      <c r="E15" s="3">
        <v>37</v>
      </c>
      <c r="F15" s="3">
        <v>5910</v>
      </c>
      <c r="G15" s="3">
        <v>11</v>
      </c>
      <c r="H15" s="5">
        <f t="shared" si="0"/>
        <v>159.72972972972974</v>
      </c>
    </row>
    <row r="16" spans="1:8" hidden="1" x14ac:dyDescent="0.3">
      <c r="A16" s="3">
        <v>2025</v>
      </c>
      <c r="B16" t="s">
        <v>25</v>
      </c>
      <c r="C16" t="s">
        <v>147</v>
      </c>
      <c r="D16" s="3">
        <v>8</v>
      </c>
      <c r="E16" s="3">
        <v>54</v>
      </c>
      <c r="F16" s="3">
        <v>8310</v>
      </c>
      <c r="G16" s="3">
        <v>5</v>
      </c>
      <c r="H16" s="5">
        <f t="shared" si="0"/>
        <v>153.88888888888889</v>
      </c>
    </row>
    <row r="17" spans="1:8" hidden="1" x14ac:dyDescent="0.3">
      <c r="A17" s="3">
        <v>2025</v>
      </c>
      <c r="B17" t="s">
        <v>187</v>
      </c>
      <c r="C17" t="s">
        <v>154</v>
      </c>
      <c r="D17" s="3">
        <v>3</v>
      </c>
      <c r="E17" s="3">
        <v>14</v>
      </c>
      <c r="F17" s="3">
        <v>2078</v>
      </c>
      <c r="G17" s="3">
        <v>22</v>
      </c>
      <c r="H17" s="5">
        <f t="shared" si="0"/>
        <v>148.42857142857142</v>
      </c>
    </row>
    <row r="18" spans="1:8" hidden="1" x14ac:dyDescent="0.3">
      <c r="A18" s="3">
        <v>2025</v>
      </c>
      <c r="B18" t="s">
        <v>176</v>
      </c>
      <c r="C18" t="s">
        <v>147</v>
      </c>
      <c r="D18" s="3">
        <v>8</v>
      </c>
      <c r="E18" s="3">
        <v>42</v>
      </c>
      <c r="F18" s="3">
        <v>6220</v>
      </c>
      <c r="G18" s="3">
        <v>10</v>
      </c>
      <c r="H18" s="5">
        <f t="shared" si="0"/>
        <v>148.0952380952381</v>
      </c>
    </row>
    <row r="19" spans="1:8" hidden="1" x14ac:dyDescent="0.3">
      <c r="A19" s="3">
        <v>2025</v>
      </c>
      <c r="B19" t="s">
        <v>182</v>
      </c>
      <c r="C19" t="s">
        <v>151</v>
      </c>
      <c r="D19" s="3">
        <v>8</v>
      </c>
      <c r="E19" s="3">
        <v>27</v>
      </c>
      <c r="F19" s="3">
        <v>3909</v>
      </c>
      <c r="G19" s="3">
        <v>16</v>
      </c>
      <c r="H19" s="5">
        <f t="shared" si="0"/>
        <v>144.77777777777777</v>
      </c>
    </row>
    <row r="20" spans="1:8" hidden="1" x14ac:dyDescent="0.3">
      <c r="A20" s="3">
        <v>2025</v>
      </c>
      <c r="B20" t="s">
        <v>240</v>
      </c>
      <c r="C20" t="s">
        <v>18</v>
      </c>
      <c r="D20" s="3">
        <v>4</v>
      </c>
      <c r="E20" s="3">
        <v>2</v>
      </c>
      <c r="F20" s="3">
        <v>284</v>
      </c>
      <c r="G20" s="3">
        <v>76</v>
      </c>
      <c r="H20" s="5">
        <f t="shared" si="0"/>
        <v>142</v>
      </c>
    </row>
    <row r="21" spans="1:8" x14ac:dyDescent="0.3">
      <c r="A21" s="3">
        <v>2025</v>
      </c>
      <c r="B21" t="s">
        <v>181</v>
      </c>
      <c r="C21" t="s">
        <v>152</v>
      </c>
      <c r="D21" s="3">
        <v>2</v>
      </c>
      <c r="E21" s="3">
        <v>28</v>
      </c>
      <c r="F21" s="3">
        <v>3918</v>
      </c>
      <c r="G21" s="3">
        <v>15</v>
      </c>
      <c r="H21" s="5">
        <f t="shared" si="0"/>
        <v>139.92857142857142</v>
      </c>
    </row>
    <row r="22" spans="1:8" x14ac:dyDescent="0.3">
      <c r="A22" s="3">
        <v>2025</v>
      </c>
      <c r="B22" t="s">
        <v>188</v>
      </c>
      <c r="C22" t="s">
        <v>155</v>
      </c>
      <c r="D22" s="3">
        <v>5</v>
      </c>
      <c r="E22" s="3">
        <v>17</v>
      </c>
      <c r="F22" s="3">
        <v>1984</v>
      </c>
      <c r="G22" s="3">
        <v>23</v>
      </c>
      <c r="H22" s="5">
        <f t="shared" si="0"/>
        <v>116.70588235294117</v>
      </c>
    </row>
    <row r="23" spans="1:8" hidden="1" x14ac:dyDescent="0.3">
      <c r="A23" s="3">
        <v>2025</v>
      </c>
      <c r="B23" t="s">
        <v>180</v>
      </c>
      <c r="C23" t="s">
        <v>150</v>
      </c>
      <c r="D23" s="3">
        <v>4</v>
      </c>
      <c r="E23" s="3">
        <v>36</v>
      </c>
      <c r="F23" s="3">
        <v>4814</v>
      </c>
      <c r="G23" s="3">
        <v>14</v>
      </c>
      <c r="H23" s="5">
        <f t="shared" si="0"/>
        <v>133.72222222222223</v>
      </c>
    </row>
    <row r="24" spans="1:8" hidden="1" x14ac:dyDescent="0.3">
      <c r="A24" s="3">
        <v>2025</v>
      </c>
      <c r="B24" t="s">
        <v>186</v>
      </c>
      <c r="C24" t="s">
        <v>154</v>
      </c>
      <c r="D24" s="3">
        <v>3</v>
      </c>
      <c r="E24" s="3">
        <v>17</v>
      </c>
      <c r="F24" s="3">
        <v>2207</v>
      </c>
      <c r="G24" s="3">
        <v>21</v>
      </c>
      <c r="H24" s="5">
        <f t="shared" si="0"/>
        <v>129.8235294117647</v>
      </c>
    </row>
    <row r="25" spans="1:8" hidden="1" x14ac:dyDescent="0.3">
      <c r="A25" s="3">
        <v>2025</v>
      </c>
      <c r="B25" t="s">
        <v>226</v>
      </c>
      <c r="C25" t="s">
        <v>17</v>
      </c>
      <c r="D25" s="3">
        <v>9</v>
      </c>
      <c r="E25" s="3">
        <v>4</v>
      </c>
      <c r="F25" s="3">
        <v>499</v>
      </c>
      <c r="G25" s="3">
        <v>62</v>
      </c>
      <c r="H25" s="5">
        <f t="shared" si="0"/>
        <v>124.75</v>
      </c>
    </row>
    <row r="26" spans="1:8" hidden="1" x14ac:dyDescent="0.3">
      <c r="A26" s="3">
        <v>2025</v>
      </c>
      <c r="B26" t="s">
        <v>233</v>
      </c>
      <c r="C26" t="s">
        <v>157</v>
      </c>
      <c r="D26" s="3">
        <v>9</v>
      </c>
      <c r="E26" s="3">
        <v>3</v>
      </c>
      <c r="F26" s="3">
        <v>358</v>
      </c>
      <c r="G26" s="3">
        <v>69</v>
      </c>
      <c r="H26" s="5">
        <f t="shared" si="0"/>
        <v>119.33333333333333</v>
      </c>
    </row>
    <row r="27" spans="1:8" hidden="1" x14ac:dyDescent="0.3">
      <c r="A27" s="3">
        <v>2025</v>
      </c>
      <c r="B27" t="s">
        <v>179</v>
      </c>
      <c r="C27" t="s">
        <v>147</v>
      </c>
      <c r="D27" s="3">
        <v>8</v>
      </c>
      <c r="E27" s="3">
        <v>42</v>
      </c>
      <c r="F27" s="3">
        <v>4956</v>
      </c>
      <c r="G27" s="3">
        <v>13</v>
      </c>
      <c r="H27" s="5">
        <f t="shared" si="0"/>
        <v>118</v>
      </c>
    </row>
    <row r="28" spans="1:8" x14ac:dyDescent="0.3">
      <c r="A28" s="3">
        <v>2025</v>
      </c>
      <c r="B28" t="s">
        <v>191</v>
      </c>
      <c r="C28" t="s">
        <v>158</v>
      </c>
      <c r="D28" s="3">
        <v>2</v>
      </c>
      <c r="E28" s="3">
        <v>24</v>
      </c>
      <c r="F28" s="3">
        <v>1884</v>
      </c>
      <c r="G28" s="3">
        <v>26</v>
      </c>
      <c r="H28" s="5">
        <f t="shared" si="0"/>
        <v>78.5</v>
      </c>
    </row>
    <row r="29" spans="1:8" hidden="1" x14ac:dyDescent="0.3">
      <c r="A29" s="3">
        <v>2025</v>
      </c>
      <c r="B29" t="s">
        <v>199</v>
      </c>
      <c r="C29" t="s">
        <v>18</v>
      </c>
      <c r="D29" s="3">
        <v>4</v>
      </c>
      <c r="E29" s="3">
        <v>12</v>
      </c>
      <c r="F29" s="3">
        <v>1374</v>
      </c>
      <c r="G29" s="3">
        <v>34</v>
      </c>
      <c r="H29" s="5">
        <f t="shared" si="0"/>
        <v>114.5</v>
      </c>
    </row>
    <row r="30" spans="1:8" hidden="1" x14ac:dyDescent="0.3">
      <c r="A30" s="3">
        <v>2025</v>
      </c>
      <c r="B30" t="s">
        <v>213</v>
      </c>
      <c r="C30" t="s">
        <v>159</v>
      </c>
      <c r="D30" s="3">
        <v>3</v>
      </c>
      <c r="E30" s="3">
        <v>7</v>
      </c>
      <c r="F30" s="3">
        <v>791</v>
      </c>
      <c r="G30" s="3">
        <v>48</v>
      </c>
      <c r="H30" s="5">
        <f t="shared" si="0"/>
        <v>113</v>
      </c>
    </row>
    <row r="31" spans="1:8" hidden="1" x14ac:dyDescent="0.3">
      <c r="A31" s="3">
        <v>2025</v>
      </c>
      <c r="B31" t="s">
        <v>183</v>
      </c>
      <c r="C31" t="s">
        <v>276</v>
      </c>
      <c r="D31" s="3">
        <v>6</v>
      </c>
      <c r="E31" s="3">
        <v>33</v>
      </c>
      <c r="F31" s="3">
        <v>3678</v>
      </c>
      <c r="G31" s="3">
        <v>17</v>
      </c>
      <c r="H31" s="5">
        <f t="shared" si="0"/>
        <v>111.45454545454545</v>
      </c>
    </row>
    <row r="32" spans="1:8" hidden="1" x14ac:dyDescent="0.3">
      <c r="A32" s="3">
        <v>2025</v>
      </c>
      <c r="B32" t="s">
        <v>30</v>
      </c>
      <c r="C32" t="s">
        <v>154</v>
      </c>
      <c r="D32" s="3">
        <v>3</v>
      </c>
      <c r="E32" s="3">
        <v>2</v>
      </c>
      <c r="F32" s="3">
        <v>218</v>
      </c>
      <c r="G32" s="3">
        <v>84</v>
      </c>
      <c r="H32" s="5">
        <f t="shared" si="0"/>
        <v>109</v>
      </c>
    </row>
    <row r="33" spans="1:8" x14ac:dyDescent="0.3">
      <c r="A33" s="3">
        <v>2025</v>
      </c>
      <c r="B33" t="s">
        <v>195</v>
      </c>
      <c r="C33" t="s">
        <v>163</v>
      </c>
      <c r="D33" s="3">
        <v>1</v>
      </c>
      <c r="E33" s="3">
        <v>15</v>
      </c>
      <c r="F33" s="3">
        <v>1510</v>
      </c>
      <c r="G33" s="3">
        <v>30</v>
      </c>
      <c r="H33" s="5">
        <f t="shared" si="0"/>
        <v>100.66666666666667</v>
      </c>
    </row>
    <row r="34" spans="1:8" hidden="1" x14ac:dyDescent="0.3">
      <c r="A34" s="3">
        <v>2025</v>
      </c>
      <c r="B34" t="s">
        <v>201</v>
      </c>
      <c r="C34" t="s">
        <v>147</v>
      </c>
      <c r="D34" s="3">
        <v>8</v>
      </c>
      <c r="E34" s="3">
        <v>13</v>
      </c>
      <c r="F34" s="3">
        <v>1312</v>
      </c>
      <c r="G34" s="3">
        <v>36</v>
      </c>
      <c r="H34" s="5">
        <f t="shared" ref="H34:H65" si="1">F34/E34</f>
        <v>100.92307692307692</v>
      </c>
    </row>
    <row r="35" spans="1:8" hidden="1" x14ac:dyDescent="0.3">
      <c r="A35" s="3">
        <v>2025</v>
      </c>
      <c r="B35" t="s">
        <v>216</v>
      </c>
      <c r="C35" t="s">
        <v>160</v>
      </c>
      <c r="D35" s="3">
        <v>8</v>
      </c>
      <c r="E35" s="3">
        <v>7</v>
      </c>
      <c r="F35" s="3">
        <v>705</v>
      </c>
      <c r="G35" s="3">
        <v>51</v>
      </c>
      <c r="H35" s="5">
        <f t="shared" si="1"/>
        <v>100.71428571428571</v>
      </c>
    </row>
    <row r="36" spans="1:8" x14ac:dyDescent="0.3">
      <c r="A36" s="3">
        <v>2025</v>
      </c>
      <c r="B36" t="s">
        <v>196</v>
      </c>
      <c r="C36" t="s">
        <v>163</v>
      </c>
      <c r="D36" s="3">
        <v>1</v>
      </c>
      <c r="E36" s="3">
        <v>32</v>
      </c>
      <c r="F36" s="3">
        <v>1453</v>
      </c>
      <c r="G36" s="3">
        <v>31</v>
      </c>
      <c r="H36" s="5">
        <f t="shared" si="1"/>
        <v>45.40625</v>
      </c>
    </row>
    <row r="37" spans="1:8" x14ac:dyDescent="0.3">
      <c r="A37" s="3">
        <v>2025</v>
      </c>
      <c r="B37" t="s">
        <v>200</v>
      </c>
      <c r="C37" t="s">
        <v>161</v>
      </c>
      <c r="D37" s="3">
        <v>1</v>
      </c>
      <c r="E37" s="3">
        <v>32</v>
      </c>
      <c r="F37" s="3">
        <v>1371</v>
      </c>
      <c r="G37" s="3">
        <v>35</v>
      </c>
      <c r="H37" s="5">
        <f t="shared" si="1"/>
        <v>42.84375</v>
      </c>
    </row>
    <row r="38" spans="1:8" x14ac:dyDescent="0.3">
      <c r="A38" s="3">
        <v>2025</v>
      </c>
      <c r="B38" t="s">
        <v>204</v>
      </c>
      <c r="C38" t="s">
        <v>156</v>
      </c>
      <c r="D38" s="3">
        <v>4</v>
      </c>
      <c r="E38" s="3">
        <v>9</v>
      </c>
      <c r="F38" s="3">
        <v>1205</v>
      </c>
      <c r="G38" s="3">
        <v>39</v>
      </c>
      <c r="H38" s="5">
        <f t="shared" si="1"/>
        <v>133.88888888888889</v>
      </c>
    </row>
    <row r="39" spans="1:8" hidden="1" x14ac:dyDescent="0.3">
      <c r="A39" s="3">
        <v>2025</v>
      </c>
      <c r="B39" t="s">
        <v>184</v>
      </c>
      <c r="C39" t="s">
        <v>147</v>
      </c>
      <c r="D39" s="3">
        <v>8</v>
      </c>
      <c r="E39" s="3">
        <v>35</v>
      </c>
      <c r="F39" s="3">
        <v>3305</v>
      </c>
      <c r="G39" s="3">
        <v>18</v>
      </c>
      <c r="H39" s="5">
        <f t="shared" si="1"/>
        <v>94.428571428571431</v>
      </c>
    </row>
    <row r="40" spans="1:8" hidden="1" x14ac:dyDescent="0.3">
      <c r="A40" s="3">
        <v>2025</v>
      </c>
      <c r="B40" t="s">
        <v>250</v>
      </c>
      <c r="C40" t="s">
        <v>168</v>
      </c>
      <c r="D40" s="3">
        <v>7</v>
      </c>
      <c r="E40" s="3">
        <v>2</v>
      </c>
      <c r="F40" s="3">
        <v>178</v>
      </c>
      <c r="G40" s="3">
        <v>87</v>
      </c>
      <c r="H40" s="5">
        <f t="shared" si="1"/>
        <v>89</v>
      </c>
    </row>
    <row r="41" spans="1:8" hidden="1" x14ac:dyDescent="0.3">
      <c r="A41" s="3">
        <v>2025</v>
      </c>
      <c r="B41" t="s">
        <v>221</v>
      </c>
      <c r="C41" t="s">
        <v>162</v>
      </c>
      <c r="D41" s="3">
        <v>9</v>
      </c>
      <c r="E41" s="3">
        <v>7</v>
      </c>
      <c r="F41" s="3">
        <v>598</v>
      </c>
      <c r="G41" s="3">
        <v>56</v>
      </c>
      <c r="H41" s="5">
        <f t="shared" si="1"/>
        <v>85.428571428571431</v>
      </c>
    </row>
    <row r="42" spans="1:8" hidden="1" x14ac:dyDescent="0.3">
      <c r="A42" s="3">
        <v>2025</v>
      </c>
      <c r="B42" t="s">
        <v>197</v>
      </c>
      <c r="C42" t="s">
        <v>159</v>
      </c>
      <c r="D42" s="3">
        <v>3</v>
      </c>
      <c r="E42" s="3">
        <v>17</v>
      </c>
      <c r="F42" s="3">
        <v>1442</v>
      </c>
      <c r="G42" s="3">
        <v>32</v>
      </c>
      <c r="H42" s="5">
        <f t="shared" si="1"/>
        <v>84.82352941176471</v>
      </c>
    </row>
    <row r="43" spans="1:8" hidden="1" x14ac:dyDescent="0.3">
      <c r="A43" s="3">
        <v>2025</v>
      </c>
      <c r="B43" t="s">
        <v>194</v>
      </c>
      <c r="C43" t="s">
        <v>143</v>
      </c>
      <c r="D43" s="3">
        <v>9</v>
      </c>
      <c r="E43" s="3">
        <v>20</v>
      </c>
      <c r="F43" s="3">
        <v>1648</v>
      </c>
      <c r="G43" s="3">
        <v>29</v>
      </c>
      <c r="H43" s="5">
        <f t="shared" si="1"/>
        <v>82.4</v>
      </c>
    </row>
    <row r="44" spans="1:8" x14ac:dyDescent="0.3">
      <c r="A44" s="3">
        <v>2025</v>
      </c>
      <c r="B44" t="s">
        <v>206</v>
      </c>
      <c r="C44" t="s">
        <v>164</v>
      </c>
      <c r="D44" s="3">
        <v>3</v>
      </c>
      <c r="E44" s="3">
        <v>11</v>
      </c>
      <c r="F44" s="3">
        <v>1137</v>
      </c>
      <c r="G44" s="3">
        <v>41</v>
      </c>
      <c r="H44" s="5">
        <f t="shared" si="1"/>
        <v>103.36363636363636</v>
      </c>
    </row>
    <row r="45" spans="1:8" x14ac:dyDescent="0.3">
      <c r="A45" s="3">
        <v>2025</v>
      </c>
      <c r="B45" t="s">
        <v>207</v>
      </c>
      <c r="C45" t="s">
        <v>152</v>
      </c>
      <c r="D45" s="3">
        <v>2</v>
      </c>
      <c r="E45" s="3">
        <v>13</v>
      </c>
      <c r="F45" s="3">
        <v>1003</v>
      </c>
      <c r="G45" s="3">
        <v>42</v>
      </c>
      <c r="H45" s="5">
        <f t="shared" si="1"/>
        <v>77.15384615384616</v>
      </c>
    </row>
    <row r="46" spans="1:8" hidden="1" x14ac:dyDescent="0.3">
      <c r="A46" s="3">
        <v>2025</v>
      </c>
      <c r="B46" t="s">
        <v>35</v>
      </c>
      <c r="C46" t="s">
        <v>147</v>
      </c>
      <c r="D46" s="3">
        <v>8</v>
      </c>
      <c r="E46" s="3">
        <v>7</v>
      </c>
      <c r="F46" s="3">
        <v>544</v>
      </c>
      <c r="G46" s="3">
        <v>60</v>
      </c>
      <c r="H46" s="5">
        <f t="shared" si="1"/>
        <v>77.714285714285708</v>
      </c>
    </row>
    <row r="47" spans="1:8" x14ac:dyDescent="0.3">
      <c r="A47" s="3">
        <v>2025</v>
      </c>
      <c r="B47" t="s">
        <v>215</v>
      </c>
      <c r="C47" t="s">
        <v>158</v>
      </c>
      <c r="D47" s="3">
        <v>2</v>
      </c>
      <c r="E47" s="3">
        <v>23</v>
      </c>
      <c r="F47" s="3">
        <v>722</v>
      </c>
      <c r="G47" s="3">
        <v>50</v>
      </c>
      <c r="H47" s="5">
        <f t="shared" si="1"/>
        <v>31.391304347826086</v>
      </c>
    </row>
    <row r="48" spans="1:8" hidden="1" x14ac:dyDescent="0.3">
      <c r="A48" s="3">
        <v>2025</v>
      </c>
      <c r="B48" t="s">
        <v>190</v>
      </c>
      <c r="C48" t="s">
        <v>150</v>
      </c>
      <c r="D48" s="3">
        <v>4</v>
      </c>
      <c r="E48" s="3">
        <v>25</v>
      </c>
      <c r="F48" s="3">
        <v>1891</v>
      </c>
      <c r="G48" s="3">
        <v>25</v>
      </c>
      <c r="H48" s="5">
        <f t="shared" si="1"/>
        <v>75.64</v>
      </c>
    </row>
    <row r="49" spans="1:8" hidden="1" x14ac:dyDescent="0.3">
      <c r="A49" s="3">
        <v>2025</v>
      </c>
      <c r="B49" t="s">
        <v>192</v>
      </c>
      <c r="C49" t="s">
        <v>157</v>
      </c>
      <c r="D49" s="3">
        <v>9</v>
      </c>
      <c r="E49" s="3">
        <v>25</v>
      </c>
      <c r="F49" s="3">
        <v>1807</v>
      </c>
      <c r="G49" s="3">
        <v>27</v>
      </c>
      <c r="H49" s="5">
        <f t="shared" si="1"/>
        <v>72.28</v>
      </c>
    </row>
    <row r="50" spans="1:8" hidden="1" x14ac:dyDescent="0.3">
      <c r="A50" s="3">
        <v>2025</v>
      </c>
      <c r="B50" t="s">
        <v>203</v>
      </c>
      <c r="C50" t="s">
        <v>144</v>
      </c>
      <c r="D50" s="3">
        <v>7</v>
      </c>
      <c r="E50" s="3">
        <v>17</v>
      </c>
      <c r="F50" s="3">
        <v>1227</v>
      </c>
      <c r="G50" s="3">
        <v>38</v>
      </c>
      <c r="H50" s="5">
        <f t="shared" si="1"/>
        <v>72.17647058823529</v>
      </c>
    </row>
    <row r="51" spans="1:8" hidden="1" x14ac:dyDescent="0.3">
      <c r="A51" s="3">
        <v>2025</v>
      </c>
      <c r="B51" t="s">
        <v>224</v>
      </c>
      <c r="C51" t="s">
        <v>18</v>
      </c>
      <c r="D51" s="3">
        <v>4</v>
      </c>
      <c r="E51" s="3">
        <v>8</v>
      </c>
      <c r="F51" s="3">
        <v>544</v>
      </c>
      <c r="G51" s="3">
        <v>59</v>
      </c>
      <c r="H51" s="5">
        <f t="shared" si="1"/>
        <v>68</v>
      </c>
    </row>
    <row r="52" spans="1:8" x14ac:dyDescent="0.3">
      <c r="A52" s="3">
        <v>2025</v>
      </c>
      <c r="B52" t="s">
        <v>219</v>
      </c>
      <c r="C52" t="s">
        <v>152</v>
      </c>
      <c r="D52" s="3">
        <v>2</v>
      </c>
      <c r="E52" s="3">
        <v>8</v>
      </c>
      <c r="F52" s="3">
        <v>633</v>
      </c>
      <c r="G52" s="3">
        <v>54</v>
      </c>
      <c r="H52" s="5">
        <f t="shared" si="1"/>
        <v>79.125</v>
      </c>
    </row>
    <row r="53" spans="1:8" hidden="1" x14ac:dyDescent="0.3">
      <c r="A53" s="3">
        <v>2025</v>
      </c>
      <c r="B53" t="s">
        <v>217</v>
      </c>
      <c r="C53" t="s">
        <v>166</v>
      </c>
      <c r="D53" s="3">
        <v>6</v>
      </c>
      <c r="E53" s="3">
        <v>11</v>
      </c>
      <c r="F53" s="3">
        <v>645</v>
      </c>
      <c r="G53" s="3">
        <v>52</v>
      </c>
      <c r="H53" s="5">
        <f t="shared" si="1"/>
        <v>58.636363636363633</v>
      </c>
    </row>
    <row r="54" spans="1:8" hidden="1" x14ac:dyDescent="0.3">
      <c r="A54" s="3">
        <v>2025</v>
      </c>
      <c r="B54" t="s">
        <v>214</v>
      </c>
      <c r="C54" t="s">
        <v>154</v>
      </c>
      <c r="D54" s="3">
        <v>3</v>
      </c>
      <c r="E54" s="3">
        <v>13</v>
      </c>
      <c r="F54" s="3">
        <v>747</v>
      </c>
      <c r="G54" s="3">
        <v>49</v>
      </c>
      <c r="H54" s="5">
        <f t="shared" si="1"/>
        <v>57.46153846153846</v>
      </c>
    </row>
    <row r="55" spans="1:8" hidden="1" x14ac:dyDescent="0.3">
      <c r="A55" s="3">
        <v>2025</v>
      </c>
      <c r="B55" t="s">
        <v>227</v>
      </c>
      <c r="C55" t="s">
        <v>150</v>
      </c>
      <c r="D55" s="3">
        <v>4</v>
      </c>
      <c r="E55" s="3">
        <v>9</v>
      </c>
      <c r="F55" s="3">
        <v>498</v>
      </c>
      <c r="G55" s="3">
        <v>63</v>
      </c>
      <c r="H55" s="5">
        <f t="shared" si="1"/>
        <v>55.333333333333336</v>
      </c>
    </row>
    <row r="56" spans="1:8" hidden="1" x14ac:dyDescent="0.3">
      <c r="A56" s="3">
        <v>2025</v>
      </c>
      <c r="B56" t="s">
        <v>229</v>
      </c>
      <c r="C56" t="s">
        <v>159</v>
      </c>
      <c r="D56" s="3">
        <v>3</v>
      </c>
      <c r="E56" s="3">
        <v>8</v>
      </c>
      <c r="F56" s="3">
        <v>431</v>
      </c>
      <c r="G56" s="3">
        <v>65</v>
      </c>
      <c r="H56" s="5">
        <f t="shared" si="1"/>
        <v>53.875</v>
      </c>
    </row>
    <row r="57" spans="1:8" x14ac:dyDescent="0.3">
      <c r="A57" s="3">
        <v>2025</v>
      </c>
      <c r="B57" t="s">
        <v>220</v>
      </c>
      <c r="C57" t="s">
        <v>161</v>
      </c>
      <c r="D57" s="3">
        <v>1</v>
      </c>
      <c r="E57" s="3">
        <v>16</v>
      </c>
      <c r="F57" s="3">
        <v>610</v>
      </c>
      <c r="G57" s="3">
        <v>55</v>
      </c>
      <c r="H57" s="5">
        <f t="shared" si="1"/>
        <v>38.125</v>
      </c>
    </row>
    <row r="58" spans="1:8" hidden="1" x14ac:dyDescent="0.3">
      <c r="A58" s="3">
        <v>2025</v>
      </c>
      <c r="B58" t="s">
        <v>223</v>
      </c>
      <c r="C58" t="s">
        <v>154</v>
      </c>
      <c r="D58" s="3">
        <v>3</v>
      </c>
      <c r="E58" s="3">
        <v>12</v>
      </c>
      <c r="F58" s="3">
        <v>593</v>
      </c>
      <c r="G58" s="3">
        <v>58</v>
      </c>
      <c r="H58" s="5">
        <f t="shared" si="1"/>
        <v>49.416666666666664</v>
      </c>
    </row>
    <row r="59" spans="1:8" hidden="1" x14ac:dyDescent="0.3">
      <c r="A59" s="3">
        <v>2025</v>
      </c>
      <c r="B59" t="s">
        <v>218</v>
      </c>
      <c r="C59" t="s">
        <v>149</v>
      </c>
      <c r="D59" s="3">
        <v>5</v>
      </c>
      <c r="E59" s="3">
        <v>13</v>
      </c>
      <c r="F59" s="3">
        <v>641</v>
      </c>
      <c r="G59" s="3">
        <v>53</v>
      </c>
      <c r="H59" s="5">
        <f t="shared" si="1"/>
        <v>49.307692307692307</v>
      </c>
    </row>
    <row r="60" spans="1:8" x14ac:dyDescent="0.3">
      <c r="A60" s="3">
        <v>2025</v>
      </c>
      <c r="B60" t="s">
        <v>222</v>
      </c>
      <c r="C60" t="s">
        <v>161</v>
      </c>
      <c r="D60" s="3">
        <v>1</v>
      </c>
      <c r="E60" s="3">
        <v>13</v>
      </c>
      <c r="F60" s="3">
        <v>597</v>
      </c>
      <c r="G60" s="3">
        <v>57</v>
      </c>
      <c r="H60" s="5">
        <f t="shared" si="1"/>
        <v>45.92307692307692</v>
      </c>
    </row>
    <row r="61" spans="1:8" hidden="1" x14ac:dyDescent="0.3">
      <c r="A61" s="3">
        <v>2025</v>
      </c>
      <c r="B61" t="s">
        <v>193</v>
      </c>
      <c r="C61" t="s">
        <v>147</v>
      </c>
      <c r="D61" s="3">
        <v>8</v>
      </c>
      <c r="E61" s="3">
        <v>36</v>
      </c>
      <c r="F61" s="3">
        <v>1744</v>
      </c>
      <c r="G61" s="3">
        <v>28</v>
      </c>
      <c r="H61" s="5">
        <f t="shared" si="1"/>
        <v>48.444444444444443</v>
      </c>
    </row>
    <row r="62" spans="1:8" hidden="1" x14ac:dyDescent="0.3">
      <c r="A62" s="3">
        <v>2025</v>
      </c>
      <c r="B62" t="s">
        <v>232</v>
      </c>
      <c r="C62" t="s">
        <v>170</v>
      </c>
      <c r="D62" s="3">
        <v>7</v>
      </c>
      <c r="E62" s="3">
        <v>8</v>
      </c>
      <c r="F62" s="3">
        <v>385</v>
      </c>
      <c r="G62" s="3">
        <v>68</v>
      </c>
      <c r="H62" s="5">
        <f t="shared" si="1"/>
        <v>48.125</v>
      </c>
    </row>
    <row r="63" spans="1:8" hidden="1" x14ac:dyDescent="0.3">
      <c r="A63" s="3">
        <v>2025</v>
      </c>
      <c r="B63" t="s">
        <v>210</v>
      </c>
      <c r="C63" t="s">
        <v>147</v>
      </c>
      <c r="D63" s="3">
        <v>8</v>
      </c>
      <c r="E63" s="3">
        <v>20</v>
      </c>
      <c r="F63" s="3">
        <v>939</v>
      </c>
      <c r="G63" s="3">
        <v>45</v>
      </c>
      <c r="H63" s="5">
        <f t="shared" si="1"/>
        <v>46.95</v>
      </c>
    </row>
    <row r="64" spans="1:8" x14ac:dyDescent="0.3">
      <c r="A64" s="3">
        <v>2025</v>
      </c>
      <c r="B64" t="s">
        <v>225</v>
      </c>
      <c r="C64" t="s">
        <v>161</v>
      </c>
      <c r="D64" s="3">
        <v>1</v>
      </c>
      <c r="E64" s="3">
        <v>30</v>
      </c>
      <c r="F64" s="3">
        <v>513</v>
      </c>
      <c r="G64" s="3">
        <v>61</v>
      </c>
      <c r="H64" s="5">
        <f t="shared" si="1"/>
        <v>17.100000000000001</v>
      </c>
    </row>
    <row r="65" spans="1:8" x14ac:dyDescent="0.3">
      <c r="A65" s="3">
        <v>2025</v>
      </c>
      <c r="B65" t="s">
        <v>228</v>
      </c>
      <c r="C65" t="s">
        <v>152</v>
      </c>
      <c r="D65" s="3">
        <v>2</v>
      </c>
      <c r="E65" s="3">
        <v>25</v>
      </c>
      <c r="F65" s="3">
        <v>436</v>
      </c>
      <c r="G65" s="3">
        <v>64</v>
      </c>
      <c r="H65" s="5">
        <f t="shared" si="1"/>
        <v>17.440000000000001</v>
      </c>
    </row>
    <row r="66" spans="1:8" hidden="1" x14ac:dyDescent="0.3">
      <c r="A66" s="3">
        <v>2025</v>
      </c>
      <c r="B66" t="s">
        <v>212</v>
      </c>
      <c r="C66" t="s">
        <v>150</v>
      </c>
      <c r="D66" s="3">
        <v>4</v>
      </c>
      <c r="E66" s="3">
        <v>21</v>
      </c>
      <c r="F66" s="3">
        <v>915</v>
      </c>
      <c r="G66" s="3">
        <v>47</v>
      </c>
      <c r="H66" s="5">
        <f t="shared" ref="H66:H97" si="2">F66/E66</f>
        <v>43.571428571428569</v>
      </c>
    </row>
    <row r="67" spans="1:8" x14ac:dyDescent="0.3">
      <c r="A67" s="3">
        <v>2025</v>
      </c>
      <c r="B67" t="s">
        <v>234</v>
      </c>
      <c r="C67" t="s">
        <v>158</v>
      </c>
      <c r="D67" s="3">
        <v>2</v>
      </c>
      <c r="E67" s="3">
        <v>8</v>
      </c>
      <c r="F67" s="3">
        <v>345</v>
      </c>
      <c r="G67" s="3">
        <v>70</v>
      </c>
      <c r="H67" s="5">
        <f t="shared" si="2"/>
        <v>43.125</v>
      </c>
    </row>
    <row r="68" spans="1:8" hidden="1" x14ac:dyDescent="0.3">
      <c r="A68" s="3">
        <v>2025</v>
      </c>
      <c r="B68" t="s">
        <v>209</v>
      </c>
      <c r="C68" t="s">
        <v>150</v>
      </c>
      <c r="D68" s="3">
        <v>4</v>
      </c>
      <c r="E68" s="3">
        <v>22</v>
      </c>
      <c r="F68" s="3">
        <v>947</v>
      </c>
      <c r="G68" s="3">
        <v>44</v>
      </c>
      <c r="H68" s="5">
        <f t="shared" si="2"/>
        <v>43.045454545454547</v>
      </c>
    </row>
    <row r="69" spans="1:8" x14ac:dyDescent="0.3">
      <c r="A69" s="3">
        <v>2025</v>
      </c>
      <c r="B69" t="s">
        <v>239</v>
      </c>
      <c r="C69" t="s">
        <v>158</v>
      </c>
      <c r="D69" s="3">
        <v>2</v>
      </c>
      <c r="E69" s="3">
        <v>3</v>
      </c>
      <c r="F69" s="3">
        <v>294</v>
      </c>
      <c r="G69" s="3">
        <v>75</v>
      </c>
      <c r="H69" s="5">
        <f t="shared" si="2"/>
        <v>98</v>
      </c>
    </row>
    <row r="70" spans="1:8" x14ac:dyDescent="0.3">
      <c r="A70" s="3">
        <v>2025</v>
      </c>
      <c r="B70" t="s">
        <v>241</v>
      </c>
      <c r="C70" t="s">
        <v>152</v>
      </c>
      <c r="D70" s="3">
        <v>2</v>
      </c>
      <c r="E70" s="3">
        <v>17</v>
      </c>
      <c r="F70" s="3">
        <v>259</v>
      </c>
      <c r="G70" s="3">
        <v>77</v>
      </c>
      <c r="H70" s="5">
        <f t="shared" si="2"/>
        <v>15.235294117647058</v>
      </c>
    </row>
    <row r="71" spans="1:8" x14ac:dyDescent="0.3">
      <c r="A71" s="3">
        <v>2025</v>
      </c>
      <c r="B71" t="s">
        <v>242</v>
      </c>
      <c r="C71" t="s">
        <v>161</v>
      </c>
      <c r="D71" s="3">
        <v>1</v>
      </c>
      <c r="E71" s="3">
        <v>6</v>
      </c>
      <c r="F71" s="3">
        <v>241</v>
      </c>
      <c r="G71" s="3">
        <v>78</v>
      </c>
      <c r="H71" s="5">
        <f t="shared" si="2"/>
        <v>40.166666666666664</v>
      </c>
    </row>
    <row r="72" spans="1:8" hidden="1" x14ac:dyDescent="0.3">
      <c r="A72" s="3">
        <v>2025</v>
      </c>
      <c r="B72" t="s">
        <v>254</v>
      </c>
      <c r="C72" t="s">
        <v>154</v>
      </c>
      <c r="D72" s="3">
        <v>3</v>
      </c>
      <c r="E72" s="3">
        <v>4</v>
      </c>
      <c r="F72" s="3">
        <v>164</v>
      </c>
      <c r="G72" s="3">
        <v>91</v>
      </c>
      <c r="H72" s="5">
        <f t="shared" si="2"/>
        <v>41</v>
      </c>
    </row>
    <row r="73" spans="1:8" hidden="1" x14ac:dyDescent="0.3">
      <c r="A73" s="3">
        <v>2025</v>
      </c>
      <c r="B73" t="s">
        <v>236</v>
      </c>
      <c r="C73" t="s">
        <v>165</v>
      </c>
      <c r="D73" s="3">
        <v>1</v>
      </c>
      <c r="E73" s="3">
        <v>8</v>
      </c>
      <c r="F73" s="3">
        <v>327</v>
      </c>
      <c r="G73" s="3">
        <v>72</v>
      </c>
      <c r="H73" s="5">
        <f t="shared" si="2"/>
        <v>40.875</v>
      </c>
    </row>
    <row r="74" spans="1:8" hidden="1" x14ac:dyDescent="0.3">
      <c r="A74" s="3">
        <v>2025</v>
      </c>
      <c r="B74" t="s">
        <v>185</v>
      </c>
      <c r="C74" t="s">
        <v>153</v>
      </c>
      <c r="D74" s="3">
        <v>6</v>
      </c>
      <c r="E74" s="3">
        <v>62</v>
      </c>
      <c r="F74" s="3">
        <v>2503</v>
      </c>
      <c r="G74" s="3">
        <v>20</v>
      </c>
      <c r="H74" s="5">
        <f t="shared" si="2"/>
        <v>40.37096774193548</v>
      </c>
    </row>
    <row r="75" spans="1:8" x14ac:dyDescent="0.3">
      <c r="A75" s="3">
        <v>2025</v>
      </c>
      <c r="B75" t="s">
        <v>246</v>
      </c>
      <c r="C75" t="s">
        <v>163</v>
      </c>
      <c r="D75" s="3">
        <v>1</v>
      </c>
      <c r="E75" s="3">
        <v>12</v>
      </c>
      <c r="F75" s="3">
        <v>226</v>
      </c>
      <c r="G75" s="3">
        <v>82</v>
      </c>
      <c r="H75" s="5">
        <f t="shared" si="2"/>
        <v>18.833333333333332</v>
      </c>
    </row>
    <row r="76" spans="1:8" hidden="1" x14ac:dyDescent="0.3">
      <c r="A76" s="3">
        <v>2025</v>
      </c>
      <c r="B76" t="s">
        <v>202</v>
      </c>
      <c r="C76" t="s">
        <v>144</v>
      </c>
      <c r="D76" s="3">
        <v>7</v>
      </c>
      <c r="E76" s="3">
        <v>32</v>
      </c>
      <c r="F76" s="3">
        <v>1258</v>
      </c>
      <c r="G76" s="3">
        <v>37</v>
      </c>
      <c r="H76" s="5">
        <f t="shared" si="2"/>
        <v>39.3125</v>
      </c>
    </row>
    <row r="77" spans="1:8" x14ac:dyDescent="0.3">
      <c r="A77" s="3">
        <v>2025</v>
      </c>
      <c r="B77" t="s">
        <v>252</v>
      </c>
      <c r="C77" t="s">
        <v>156</v>
      </c>
      <c r="D77" s="3">
        <v>4</v>
      </c>
      <c r="E77" s="3">
        <v>4</v>
      </c>
      <c r="F77" s="3">
        <v>168</v>
      </c>
      <c r="G77" s="3">
        <v>89</v>
      </c>
      <c r="H77" s="5">
        <f t="shared" si="2"/>
        <v>42</v>
      </c>
    </row>
    <row r="78" spans="1:8" hidden="1" x14ac:dyDescent="0.3">
      <c r="A78" s="3">
        <v>2025</v>
      </c>
      <c r="B78" t="s">
        <v>243</v>
      </c>
      <c r="C78" t="s">
        <v>157</v>
      </c>
      <c r="D78" s="3">
        <v>9</v>
      </c>
      <c r="E78" s="3">
        <v>7</v>
      </c>
      <c r="F78" s="3">
        <v>240</v>
      </c>
      <c r="G78" s="3">
        <v>79</v>
      </c>
      <c r="H78" s="5">
        <f t="shared" si="2"/>
        <v>34.285714285714285</v>
      </c>
    </row>
    <row r="79" spans="1:8" x14ac:dyDescent="0.3">
      <c r="A79" s="3">
        <v>2025</v>
      </c>
      <c r="B79" t="s">
        <v>253</v>
      </c>
      <c r="C79" t="s">
        <v>152</v>
      </c>
      <c r="D79" s="3">
        <v>2</v>
      </c>
      <c r="E79" s="3">
        <v>4</v>
      </c>
      <c r="F79" s="3">
        <v>165</v>
      </c>
      <c r="G79" s="3">
        <v>90</v>
      </c>
      <c r="H79" s="5">
        <f t="shared" si="2"/>
        <v>41.25</v>
      </c>
    </row>
    <row r="80" spans="1:8" hidden="1" x14ac:dyDescent="0.3">
      <c r="A80" s="3">
        <v>2025</v>
      </c>
      <c r="B80" t="s">
        <v>244</v>
      </c>
      <c r="C80" t="s">
        <v>154</v>
      </c>
      <c r="D80" s="3">
        <v>3</v>
      </c>
      <c r="E80" s="3">
        <v>7</v>
      </c>
      <c r="F80" s="3">
        <v>231</v>
      </c>
      <c r="G80" s="3">
        <v>80</v>
      </c>
      <c r="H80" s="5">
        <f t="shared" si="2"/>
        <v>33</v>
      </c>
    </row>
    <row r="81" spans="1:8" hidden="1" x14ac:dyDescent="0.3">
      <c r="A81" s="3">
        <v>2025</v>
      </c>
      <c r="B81" t="s">
        <v>267</v>
      </c>
      <c r="C81" t="s">
        <v>281</v>
      </c>
      <c r="D81" s="3">
        <v>7</v>
      </c>
      <c r="E81" s="3">
        <v>1</v>
      </c>
      <c r="F81" s="3">
        <v>33</v>
      </c>
      <c r="G81" s="3">
        <v>117</v>
      </c>
      <c r="H81" s="5">
        <f t="shared" si="2"/>
        <v>33</v>
      </c>
    </row>
    <row r="82" spans="1:8" hidden="1" x14ac:dyDescent="0.3">
      <c r="A82" s="3">
        <v>2025</v>
      </c>
      <c r="B82" t="s">
        <v>174</v>
      </c>
      <c r="C82" t="s">
        <v>159</v>
      </c>
      <c r="D82" s="3">
        <v>3</v>
      </c>
      <c r="E82" s="3">
        <v>2</v>
      </c>
      <c r="F82" s="3">
        <v>64</v>
      </c>
      <c r="G82" s="3">
        <v>110</v>
      </c>
      <c r="H82" s="5">
        <f t="shared" si="2"/>
        <v>32</v>
      </c>
    </row>
    <row r="83" spans="1:8" hidden="1" x14ac:dyDescent="0.3">
      <c r="A83" s="3">
        <v>2025</v>
      </c>
      <c r="B83" t="s">
        <v>211</v>
      </c>
      <c r="C83" t="s">
        <v>147</v>
      </c>
      <c r="D83" s="3">
        <v>8</v>
      </c>
      <c r="E83" s="3">
        <v>29</v>
      </c>
      <c r="F83" s="3">
        <v>921</v>
      </c>
      <c r="G83" s="3">
        <v>46</v>
      </c>
      <c r="H83" s="5">
        <f t="shared" si="2"/>
        <v>31.758620689655171</v>
      </c>
    </row>
    <row r="84" spans="1:8" hidden="1" x14ac:dyDescent="0.3">
      <c r="A84" s="3">
        <v>2025</v>
      </c>
      <c r="B84" t="s">
        <v>256</v>
      </c>
      <c r="C84" t="s">
        <v>159</v>
      </c>
      <c r="D84" s="3">
        <v>3</v>
      </c>
      <c r="E84" s="3">
        <v>5</v>
      </c>
      <c r="F84" s="3">
        <v>157</v>
      </c>
      <c r="G84" s="3">
        <v>95</v>
      </c>
      <c r="H84" s="5">
        <f t="shared" si="2"/>
        <v>31.4</v>
      </c>
    </row>
    <row r="85" spans="1:8" x14ac:dyDescent="0.3">
      <c r="A85" s="3">
        <v>2025</v>
      </c>
      <c r="B85" t="s">
        <v>21</v>
      </c>
      <c r="C85" t="s">
        <v>171</v>
      </c>
      <c r="D85" s="3">
        <v>5</v>
      </c>
      <c r="E85" s="3">
        <v>3</v>
      </c>
      <c r="F85" s="3">
        <v>158</v>
      </c>
      <c r="G85" s="3">
        <v>94</v>
      </c>
      <c r="H85" s="5">
        <f t="shared" si="2"/>
        <v>52.666666666666664</v>
      </c>
    </row>
    <row r="86" spans="1:8" hidden="1" x14ac:dyDescent="0.3">
      <c r="A86" s="3">
        <v>2025</v>
      </c>
      <c r="B86" t="s">
        <v>105</v>
      </c>
      <c r="C86" t="s">
        <v>146</v>
      </c>
      <c r="D86" s="3">
        <v>8</v>
      </c>
      <c r="E86" s="3">
        <v>3</v>
      </c>
      <c r="F86" s="3">
        <v>94</v>
      </c>
      <c r="G86" s="3">
        <v>103</v>
      </c>
      <c r="H86" s="5">
        <f t="shared" si="2"/>
        <v>31.333333333333332</v>
      </c>
    </row>
    <row r="87" spans="1:8" hidden="1" x14ac:dyDescent="0.3">
      <c r="A87" s="3">
        <v>2025</v>
      </c>
      <c r="B87" t="s">
        <v>208</v>
      </c>
      <c r="C87" t="s">
        <v>147</v>
      </c>
      <c r="D87" s="3">
        <v>8</v>
      </c>
      <c r="E87" s="3">
        <v>32</v>
      </c>
      <c r="F87" s="3">
        <v>981</v>
      </c>
      <c r="G87" s="3">
        <v>43</v>
      </c>
      <c r="H87" s="5">
        <f t="shared" si="2"/>
        <v>30.65625</v>
      </c>
    </row>
    <row r="88" spans="1:8" hidden="1" x14ac:dyDescent="0.3">
      <c r="A88" s="3">
        <v>2025</v>
      </c>
      <c r="B88" t="s">
        <v>31</v>
      </c>
      <c r="C88" t="s">
        <v>149</v>
      </c>
      <c r="D88" s="3">
        <v>5</v>
      </c>
      <c r="E88" s="3">
        <v>6</v>
      </c>
      <c r="F88" s="3">
        <v>164</v>
      </c>
      <c r="G88" s="3">
        <v>92</v>
      </c>
      <c r="H88" s="5">
        <f t="shared" si="2"/>
        <v>27.333333333333332</v>
      </c>
    </row>
    <row r="89" spans="1:8" hidden="1" x14ac:dyDescent="0.3">
      <c r="A89" s="3">
        <v>2025</v>
      </c>
      <c r="B89" t="s">
        <v>231</v>
      </c>
      <c r="C89" t="s">
        <v>146</v>
      </c>
      <c r="D89" s="3">
        <v>8</v>
      </c>
      <c r="E89" s="3">
        <v>15</v>
      </c>
      <c r="F89" s="3">
        <v>406</v>
      </c>
      <c r="G89" s="3">
        <v>67</v>
      </c>
      <c r="H89" s="5">
        <f t="shared" si="2"/>
        <v>27.066666666666666</v>
      </c>
    </row>
    <row r="90" spans="1:8" hidden="1" x14ac:dyDescent="0.3">
      <c r="A90" s="3">
        <v>2025</v>
      </c>
      <c r="B90" t="s">
        <v>136</v>
      </c>
      <c r="C90" t="s">
        <v>172</v>
      </c>
      <c r="D90" s="3">
        <v>3</v>
      </c>
      <c r="E90" s="3">
        <v>4</v>
      </c>
      <c r="F90" s="3">
        <v>106</v>
      </c>
      <c r="G90" s="3">
        <v>101</v>
      </c>
      <c r="H90" s="5">
        <f t="shared" si="2"/>
        <v>26.5</v>
      </c>
    </row>
    <row r="91" spans="1:8" hidden="1" x14ac:dyDescent="0.3">
      <c r="A91" s="3">
        <v>2025</v>
      </c>
      <c r="B91" t="s">
        <v>269</v>
      </c>
      <c r="C91" t="s">
        <v>281</v>
      </c>
      <c r="D91" s="3">
        <v>7</v>
      </c>
      <c r="E91" s="3">
        <v>1</v>
      </c>
      <c r="F91" s="3">
        <v>25</v>
      </c>
      <c r="G91" s="3">
        <v>119</v>
      </c>
      <c r="H91" s="5">
        <f t="shared" si="2"/>
        <v>25</v>
      </c>
    </row>
    <row r="92" spans="1:8" hidden="1" x14ac:dyDescent="0.3">
      <c r="A92" s="3">
        <v>2025</v>
      </c>
      <c r="B92" t="s">
        <v>237</v>
      </c>
      <c r="C92" t="s">
        <v>159</v>
      </c>
      <c r="D92" s="3">
        <v>3</v>
      </c>
      <c r="E92" s="3">
        <v>13</v>
      </c>
      <c r="F92" s="3">
        <v>322</v>
      </c>
      <c r="G92" s="3">
        <v>73</v>
      </c>
      <c r="H92" s="5">
        <f t="shared" si="2"/>
        <v>24.76923076923077</v>
      </c>
    </row>
    <row r="93" spans="1:8" hidden="1" x14ac:dyDescent="0.3">
      <c r="A93" s="3">
        <v>2025</v>
      </c>
      <c r="B93" t="s">
        <v>33</v>
      </c>
      <c r="C93" t="s">
        <v>159</v>
      </c>
      <c r="D93" s="3">
        <v>3</v>
      </c>
      <c r="E93" s="3">
        <v>1</v>
      </c>
      <c r="F93" s="3">
        <v>24</v>
      </c>
      <c r="G93" s="3">
        <v>121</v>
      </c>
      <c r="H93" s="5">
        <f t="shared" si="2"/>
        <v>24</v>
      </c>
    </row>
    <row r="94" spans="1:8" hidden="1" x14ac:dyDescent="0.3">
      <c r="A94" s="3">
        <v>2025</v>
      </c>
      <c r="B94" t="s">
        <v>259</v>
      </c>
      <c r="C94" t="s">
        <v>18</v>
      </c>
      <c r="D94" s="3">
        <v>4</v>
      </c>
      <c r="E94" s="3">
        <v>6</v>
      </c>
      <c r="F94" s="3">
        <v>131</v>
      </c>
      <c r="G94" s="3">
        <v>98</v>
      </c>
      <c r="H94" s="5">
        <f t="shared" si="2"/>
        <v>21.833333333333332</v>
      </c>
    </row>
    <row r="95" spans="1:8" hidden="1" x14ac:dyDescent="0.3">
      <c r="A95" s="3">
        <v>2025</v>
      </c>
      <c r="B95" t="s">
        <v>238</v>
      </c>
      <c r="C95" t="s">
        <v>143</v>
      </c>
      <c r="D95" s="3">
        <v>9</v>
      </c>
      <c r="E95" s="3">
        <v>15</v>
      </c>
      <c r="F95" s="3">
        <v>310</v>
      </c>
      <c r="G95" s="3">
        <v>74</v>
      </c>
      <c r="H95" s="5">
        <f t="shared" si="2"/>
        <v>20.666666666666668</v>
      </c>
    </row>
    <row r="96" spans="1:8" hidden="1" x14ac:dyDescent="0.3">
      <c r="A96" s="3">
        <v>2025</v>
      </c>
      <c r="B96" t="s">
        <v>94</v>
      </c>
      <c r="C96" t="s">
        <v>160</v>
      </c>
      <c r="D96" s="3">
        <v>8</v>
      </c>
      <c r="E96" s="3">
        <v>3</v>
      </c>
      <c r="F96" s="3">
        <v>59</v>
      </c>
      <c r="G96" s="3">
        <v>111</v>
      </c>
      <c r="H96" s="5">
        <f t="shared" si="2"/>
        <v>19.666666666666668</v>
      </c>
    </row>
    <row r="97" spans="1:8" x14ac:dyDescent="0.3">
      <c r="A97" s="3">
        <v>2025</v>
      </c>
      <c r="B97" t="s">
        <v>258</v>
      </c>
      <c r="C97" t="s">
        <v>277</v>
      </c>
      <c r="D97" s="3">
        <v>1</v>
      </c>
      <c r="E97" s="3">
        <v>3</v>
      </c>
      <c r="F97" s="3">
        <v>146</v>
      </c>
      <c r="G97" s="3">
        <v>97</v>
      </c>
      <c r="H97" s="5">
        <f t="shared" si="2"/>
        <v>48.666666666666664</v>
      </c>
    </row>
    <row r="98" spans="1:8" hidden="1" x14ac:dyDescent="0.3">
      <c r="A98" s="3">
        <v>2025</v>
      </c>
      <c r="B98" t="s">
        <v>266</v>
      </c>
      <c r="C98" t="s">
        <v>146</v>
      </c>
      <c r="D98" s="3">
        <v>8</v>
      </c>
      <c r="E98" s="3">
        <v>2</v>
      </c>
      <c r="F98" s="3">
        <v>37</v>
      </c>
      <c r="G98" s="3">
        <v>116</v>
      </c>
      <c r="H98" s="5">
        <f t="shared" ref="H98:H130" si="3">F98/E98</f>
        <v>18.5</v>
      </c>
    </row>
    <row r="99" spans="1:8" hidden="1" x14ac:dyDescent="0.3">
      <c r="A99" s="3">
        <v>2025</v>
      </c>
      <c r="B99" t="s">
        <v>248</v>
      </c>
      <c r="C99" t="s">
        <v>147</v>
      </c>
      <c r="D99" s="3">
        <v>8</v>
      </c>
      <c r="E99" s="3">
        <v>11</v>
      </c>
      <c r="F99" s="3">
        <v>192</v>
      </c>
      <c r="G99" s="3">
        <v>85</v>
      </c>
      <c r="H99" s="5">
        <f t="shared" si="3"/>
        <v>17.454545454545453</v>
      </c>
    </row>
    <row r="100" spans="1:8" x14ac:dyDescent="0.3">
      <c r="A100" s="3">
        <v>2025</v>
      </c>
      <c r="B100" t="s">
        <v>260</v>
      </c>
      <c r="C100" t="s">
        <v>278</v>
      </c>
      <c r="D100" s="3">
        <v>1</v>
      </c>
      <c r="E100" s="3">
        <v>8</v>
      </c>
      <c r="F100" s="3">
        <v>114</v>
      </c>
      <c r="G100" s="3">
        <v>99</v>
      </c>
      <c r="H100" s="5">
        <f t="shared" si="3"/>
        <v>14.25</v>
      </c>
    </row>
    <row r="101" spans="1:8" hidden="1" x14ac:dyDescent="0.3">
      <c r="A101" s="3">
        <v>2025</v>
      </c>
      <c r="B101" t="s">
        <v>235</v>
      </c>
      <c r="C101" t="s">
        <v>147</v>
      </c>
      <c r="D101" s="3">
        <v>8</v>
      </c>
      <c r="E101" s="3">
        <v>19</v>
      </c>
      <c r="F101" s="3">
        <v>331</v>
      </c>
      <c r="G101" s="3">
        <v>71</v>
      </c>
      <c r="H101" s="5">
        <f t="shared" si="3"/>
        <v>17.421052631578949</v>
      </c>
    </row>
    <row r="102" spans="1:8" x14ac:dyDescent="0.3">
      <c r="A102" s="3">
        <v>2025</v>
      </c>
      <c r="B102" t="s">
        <v>106</v>
      </c>
      <c r="C102" t="s">
        <v>169</v>
      </c>
      <c r="D102" s="3">
        <v>1</v>
      </c>
      <c r="E102" s="3">
        <v>1</v>
      </c>
      <c r="F102" s="3">
        <v>99</v>
      </c>
      <c r="G102" s="3">
        <v>102</v>
      </c>
      <c r="H102" s="5">
        <f t="shared" si="3"/>
        <v>99</v>
      </c>
    </row>
    <row r="103" spans="1:8" hidden="1" x14ac:dyDescent="0.3">
      <c r="A103" s="3">
        <v>2025</v>
      </c>
      <c r="B103" t="s">
        <v>230</v>
      </c>
      <c r="C103" t="s">
        <v>144</v>
      </c>
      <c r="D103" s="3">
        <v>7</v>
      </c>
      <c r="E103" s="3">
        <v>27</v>
      </c>
      <c r="F103" s="3">
        <v>428</v>
      </c>
      <c r="G103" s="3">
        <v>66</v>
      </c>
      <c r="H103" s="5">
        <f t="shared" si="3"/>
        <v>15.851851851851851</v>
      </c>
    </row>
    <row r="104" spans="1:8" hidden="1" x14ac:dyDescent="0.3">
      <c r="A104" s="3">
        <v>2025</v>
      </c>
      <c r="B104" t="s">
        <v>119</v>
      </c>
      <c r="C104" t="s">
        <v>154</v>
      </c>
      <c r="D104" s="3">
        <v>3</v>
      </c>
      <c r="E104" s="3">
        <v>7</v>
      </c>
      <c r="F104" s="3">
        <v>109</v>
      </c>
      <c r="G104" s="3">
        <v>100</v>
      </c>
      <c r="H104" s="5">
        <f t="shared" si="3"/>
        <v>15.571428571428571</v>
      </c>
    </row>
    <row r="105" spans="1:8" hidden="1" x14ac:dyDescent="0.3">
      <c r="A105" s="3">
        <v>2025</v>
      </c>
      <c r="B105" t="s">
        <v>262</v>
      </c>
      <c r="C105" t="s">
        <v>279</v>
      </c>
      <c r="D105" s="3">
        <v>6</v>
      </c>
      <c r="E105" s="3">
        <v>5</v>
      </c>
      <c r="F105" s="3">
        <v>77</v>
      </c>
      <c r="G105" s="3">
        <v>106</v>
      </c>
      <c r="H105" s="5">
        <f t="shared" si="3"/>
        <v>15.4</v>
      </c>
    </row>
    <row r="106" spans="1:8" hidden="1" x14ac:dyDescent="0.3">
      <c r="A106" s="3">
        <v>2025</v>
      </c>
      <c r="B106" t="s">
        <v>245</v>
      </c>
      <c r="C106" t="s">
        <v>143</v>
      </c>
      <c r="D106" s="3">
        <v>9</v>
      </c>
      <c r="E106" s="3">
        <v>15</v>
      </c>
      <c r="F106" s="3">
        <v>230</v>
      </c>
      <c r="G106" s="3">
        <v>81</v>
      </c>
      <c r="H106" s="5">
        <f t="shared" si="3"/>
        <v>15.333333333333334</v>
      </c>
    </row>
    <row r="107" spans="1:8" x14ac:dyDescent="0.3">
      <c r="A107" s="3">
        <v>2025</v>
      </c>
      <c r="B107" t="s">
        <v>263</v>
      </c>
      <c r="C107" t="s">
        <v>171</v>
      </c>
      <c r="D107" s="3">
        <v>5</v>
      </c>
      <c r="E107" s="3">
        <v>2</v>
      </c>
      <c r="F107" s="3">
        <v>68</v>
      </c>
      <c r="G107" s="3">
        <v>108</v>
      </c>
      <c r="H107" s="5">
        <f t="shared" si="3"/>
        <v>34</v>
      </c>
    </row>
    <row r="108" spans="1:8" hidden="1" x14ac:dyDescent="0.3">
      <c r="A108" s="3">
        <v>2025</v>
      </c>
      <c r="B108" t="s">
        <v>268</v>
      </c>
      <c r="C108" t="s">
        <v>154</v>
      </c>
      <c r="D108" s="3">
        <v>3</v>
      </c>
      <c r="E108" s="3">
        <v>2</v>
      </c>
      <c r="F108" s="3">
        <v>30</v>
      </c>
      <c r="G108" s="3">
        <v>118</v>
      </c>
      <c r="H108" s="5">
        <f t="shared" si="3"/>
        <v>15</v>
      </c>
    </row>
    <row r="109" spans="1:8" hidden="1" x14ac:dyDescent="0.3">
      <c r="A109" s="3">
        <v>2025</v>
      </c>
      <c r="B109" t="s">
        <v>249</v>
      </c>
      <c r="C109" t="s">
        <v>154</v>
      </c>
      <c r="D109" s="3">
        <v>3</v>
      </c>
      <c r="E109" s="3">
        <v>13</v>
      </c>
      <c r="F109" s="3">
        <v>189</v>
      </c>
      <c r="G109" s="3">
        <v>86</v>
      </c>
      <c r="H109" s="5">
        <f t="shared" si="3"/>
        <v>14.538461538461538</v>
      </c>
    </row>
    <row r="110" spans="1:8" hidden="1" x14ac:dyDescent="0.3">
      <c r="A110" s="3">
        <v>2025</v>
      </c>
      <c r="B110" t="s">
        <v>247</v>
      </c>
      <c r="C110" t="s">
        <v>167</v>
      </c>
      <c r="D110" s="3">
        <v>9</v>
      </c>
      <c r="E110" s="3">
        <v>15</v>
      </c>
      <c r="F110" s="3">
        <v>218</v>
      </c>
      <c r="G110" s="3">
        <v>83</v>
      </c>
      <c r="H110" s="5">
        <f t="shared" si="3"/>
        <v>14.533333333333333</v>
      </c>
    </row>
    <row r="111" spans="1:8" x14ac:dyDescent="0.3">
      <c r="A111" s="3">
        <v>2025</v>
      </c>
      <c r="B111" t="s">
        <v>264</v>
      </c>
      <c r="C111" t="s">
        <v>169</v>
      </c>
      <c r="D111" s="3">
        <v>1</v>
      </c>
      <c r="E111" s="3">
        <v>1</v>
      </c>
      <c r="F111" s="3">
        <v>65</v>
      </c>
      <c r="G111" s="3">
        <v>109</v>
      </c>
      <c r="H111" s="5">
        <f t="shared" si="3"/>
        <v>65</v>
      </c>
    </row>
    <row r="112" spans="1:8" hidden="1" x14ac:dyDescent="0.3">
      <c r="A112" s="3">
        <v>2025</v>
      </c>
      <c r="B112" t="s">
        <v>261</v>
      </c>
      <c r="C112" t="s">
        <v>143</v>
      </c>
      <c r="D112" s="3">
        <v>9</v>
      </c>
      <c r="E112" s="3">
        <v>6</v>
      </c>
      <c r="F112" s="3">
        <v>84</v>
      </c>
      <c r="G112" s="3">
        <v>104</v>
      </c>
      <c r="H112" s="5">
        <f t="shared" si="3"/>
        <v>14</v>
      </c>
    </row>
    <row r="113" spans="1:8" hidden="1" x14ac:dyDescent="0.3">
      <c r="A113" s="3">
        <v>2025</v>
      </c>
      <c r="B113" t="s">
        <v>96</v>
      </c>
      <c r="C113" t="s">
        <v>144</v>
      </c>
      <c r="D113" s="3">
        <v>7</v>
      </c>
      <c r="E113" s="3">
        <v>4</v>
      </c>
      <c r="F113" s="3">
        <v>52</v>
      </c>
      <c r="G113" s="3">
        <v>112</v>
      </c>
      <c r="H113" s="5">
        <f t="shared" si="3"/>
        <v>13</v>
      </c>
    </row>
    <row r="114" spans="1:8" hidden="1" x14ac:dyDescent="0.3">
      <c r="A114" s="3">
        <v>2025</v>
      </c>
      <c r="B114" t="s">
        <v>32</v>
      </c>
      <c r="C114" t="s">
        <v>147</v>
      </c>
      <c r="D114" s="3">
        <v>8</v>
      </c>
      <c r="E114" s="3">
        <v>4</v>
      </c>
      <c r="F114" s="3">
        <v>48</v>
      </c>
      <c r="G114" s="3">
        <v>114</v>
      </c>
      <c r="H114" s="5">
        <f t="shared" si="3"/>
        <v>12</v>
      </c>
    </row>
    <row r="115" spans="1:8" hidden="1" x14ac:dyDescent="0.3">
      <c r="A115" s="3">
        <v>2025</v>
      </c>
      <c r="B115" t="s">
        <v>251</v>
      </c>
      <c r="C115" t="s">
        <v>143</v>
      </c>
      <c r="D115" s="3">
        <v>9</v>
      </c>
      <c r="E115" s="3">
        <v>15</v>
      </c>
      <c r="F115" s="3">
        <v>170</v>
      </c>
      <c r="G115" s="3">
        <v>88</v>
      </c>
      <c r="H115" s="5">
        <f t="shared" si="3"/>
        <v>11.333333333333334</v>
      </c>
    </row>
    <row r="116" spans="1:8" hidden="1" x14ac:dyDescent="0.3">
      <c r="A116" s="3">
        <v>2025</v>
      </c>
      <c r="B116" t="s">
        <v>271</v>
      </c>
      <c r="C116" t="s">
        <v>157</v>
      </c>
      <c r="D116" s="3">
        <v>9</v>
      </c>
      <c r="E116" s="3">
        <v>2</v>
      </c>
      <c r="F116" s="3">
        <v>22</v>
      </c>
      <c r="G116" s="3">
        <v>123</v>
      </c>
      <c r="H116" s="5">
        <f t="shared" si="3"/>
        <v>11</v>
      </c>
    </row>
    <row r="117" spans="1:8" hidden="1" x14ac:dyDescent="0.3">
      <c r="A117" s="3">
        <v>2025</v>
      </c>
      <c r="B117" t="s">
        <v>272</v>
      </c>
      <c r="C117" t="s">
        <v>170</v>
      </c>
      <c r="D117" s="3">
        <v>7</v>
      </c>
      <c r="E117" s="3">
        <v>2</v>
      </c>
      <c r="F117" s="3">
        <v>21</v>
      </c>
      <c r="G117" s="3">
        <v>124</v>
      </c>
      <c r="H117" s="5">
        <f t="shared" si="3"/>
        <v>10.5</v>
      </c>
    </row>
    <row r="118" spans="1:8" hidden="1" x14ac:dyDescent="0.3">
      <c r="A118" s="3">
        <v>2025</v>
      </c>
      <c r="B118" t="s">
        <v>257</v>
      </c>
      <c r="C118" t="s">
        <v>153</v>
      </c>
      <c r="D118" s="3">
        <v>6</v>
      </c>
      <c r="E118" s="3">
        <v>16</v>
      </c>
      <c r="F118" s="3">
        <v>149</v>
      </c>
      <c r="G118" s="3">
        <v>96</v>
      </c>
      <c r="H118" s="5">
        <f t="shared" si="3"/>
        <v>9.3125</v>
      </c>
    </row>
    <row r="119" spans="1:8" hidden="1" x14ac:dyDescent="0.3">
      <c r="A119" s="3">
        <v>2025</v>
      </c>
      <c r="B119" t="s">
        <v>102</v>
      </c>
      <c r="C119" t="s">
        <v>167</v>
      </c>
      <c r="D119" s="3">
        <v>9</v>
      </c>
      <c r="E119" s="3">
        <v>10</v>
      </c>
      <c r="F119" s="3">
        <v>80</v>
      </c>
      <c r="G119" s="3">
        <v>105</v>
      </c>
      <c r="H119" s="5">
        <f t="shared" si="3"/>
        <v>8</v>
      </c>
    </row>
    <row r="120" spans="1:8" hidden="1" x14ac:dyDescent="0.3">
      <c r="A120" s="3">
        <v>2025</v>
      </c>
      <c r="B120" t="s">
        <v>265</v>
      </c>
      <c r="C120" t="s">
        <v>280</v>
      </c>
      <c r="D120" s="3">
        <v>7</v>
      </c>
      <c r="E120" s="3">
        <v>5</v>
      </c>
      <c r="F120" s="3">
        <v>40</v>
      </c>
      <c r="G120" s="3">
        <v>115</v>
      </c>
      <c r="H120" s="5">
        <f t="shared" si="3"/>
        <v>8</v>
      </c>
    </row>
    <row r="121" spans="1:8" hidden="1" x14ac:dyDescent="0.3">
      <c r="A121" s="3">
        <v>2025</v>
      </c>
      <c r="B121" t="s">
        <v>270</v>
      </c>
      <c r="C121" t="s">
        <v>151</v>
      </c>
      <c r="D121" s="3">
        <v>8</v>
      </c>
      <c r="E121" s="3">
        <v>3</v>
      </c>
      <c r="F121" s="3">
        <v>24</v>
      </c>
      <c r="G121" s="3">
        <v>120</v>
      </c>
      <c r="H121" s="5">
        <f t="shared" si="3"/>
        <v>8</v>
      </c>
    </row>
    <row r="122" spans="1:8" hidden="1" x14ac:dyDescent="0.3">
      <c r="A122" s="3">
        <v>2025</v>
      </c>
      <c r="B122" t="s">
        <v>121</v>
      </c>
      <c r="C122" t="s">
        <v>165</v>
      </c>
      <c r="D122" s="3">
        <v>1</v>
      </c>
      <c r="E122" s="3">
        <v>2</v>
      </c>
      <c r="F122" s="3">
        <v>14</v>
      </c>
      <c r="G122" s="3">
        <v>127</v>
      </c>
      <c r="H122" s="5">
        <f t="shared" si="3"/>
        <v>7</v>
      </c>
    </row>
    <row r="123" spans="1:8" hidden="1" x14ac:dyDescent="0.3">
      <c r="A123" s="3">
        <v>2025</v>
      </c>
      <c r="B123" t="s">
        <v>124</v>
      </c>
      <c r="C123" t="s">
        <v>144</v>
      </c>
      <c r="D123" s="3">
        <v>7</v>
      </c>
      <c r="E123" s="3">
        <v>11</v>
      </c>
      <c r="F123" s="3">
        <v>71</v>
      </c>
      <c r="G123" s="3">
        <v>107</v>
      </c>
      <c r="H123" s="5">
        <f t="shared" si="3"/>
        <v>6.4545454545454541</v>
      </c>
    </row>
    <row r="124" spans="1:8" hidden="1" x14ac:dyDescent="0.3">
      <c r="A124" s="3">
        <v>2025</v>
      </c>
      <c r="B124" t="s">
        <v>133</v>
      </c>
      <c r="C124" t="s">
        <v>151</v>
      </c>
      <c r="D124" s="3">
        <v>8</v>
      </c>
      <c r="E124" s="3">
        <v>8</v>
      </c>
      <c r="F124" s="3">
        <v>48</v>
      </c>
      <c r="G124" s="3">
        <v>113</v>
      </c>
      <c r="H124" s="5">
        <f t="shared" si="3"/>
        <v>6</v>
      </c>
    </row>
    <row r="125" spans="1:8" x14ac:dyDescent="0.3">
      <c r="A125" s="3">
        <v>2025</v>
      </c>
      <c r="B125" t="s">
        <v>20</v>
      </c>
      <c r="C125" t="s">
        <v>158</v>
      </c>
      <c r="D125" s="3">
        <v>2</v>
      </c>
      <c r="E125" s="3">
        <v>4</v>
      </c>
      <c r="F125" s="3">
        <v>24</v>
      </c>
      <c r="G125" s="3">
        <v>122</v>
      </c>
      <c r="H125" s="5">
        <f t="shared" si="3"/>
        <v>6</v>
      </c>
    </row>
    <row r="126" spans="1:8" x14ac:dyDescent="0.3">
      <c r="A126" s="3">
        <v>2025</v>
      </c>
      <c r="B126" t="s">
        <v>273</v>
      </c>
      <c r="C126" t="s">
        <v>163</v>
      </c>
      <c r="D126" s="3">
        <v>1</v>
      </c>
      <c r="E126" s="3">
        <v>3</v>
      </c>
      <c r="F126" s="3">
        <v>18</v>
      </c>
      <c r="G126" s="3">
        <v>125</v>
      </c>
      <c r="H126" s="5">
        <f t="shared" si="3"/>
        <v>6</v>
      </c>
    </row>
    <row r="127" spans="1:8" hidden="1" x14ac:dyDescent="0.3">
      <c r="A127" s="3">
        <v>2025</v>
      </c>
      <c r="B127" t="s">
        <v>34</v>
      </c>
      <c r="C127" t="s">
        <v>153</v>
      </c>
      <c r="D127" s="3">
        <v>6</v>
      </c>
      <c r="E127" s="3">
        <v>3</v>
      </c>
      <c r="F127" s="3">
        <v>18</v>
      </c>
      <c r="G127" s="3">
        <v>126</v>
      </c>
      <c r="H127" s="5">
        <f t="shared" si="3"/>
        <v>6</v>
      </c>
    </row>
    <row r="128" spans="1:8" hidden="1" x14ac:dyDescent="0.3">
      <c r="A128" s="3">
        <v>2025</v>
      </c>
      <c r="B128" t="s">
        <v>275</v>
      </c>
      <c r="C128" t="s">
        <v>150</v>
      </c>
      <c r="D128" s="3">
        <v>4</v>
      </c>
      <c r="E128" s="3">
        <v>1</v>
      </c>
      <c r="F128" s="3">
        <v>6</v>
      </c>
      <c r="G128" s="3">
        <v>129</v>
      </c>
      <c r="H128" s="5">
        <f t="shared" si="3"/>
        <v>6</v>
      </c>
    </row>
    <row r="129" spans="1:8" x14ac:dyDescent="0.3">
      <c r="A129" s="3">
        <v>2025</v>
      </c>
      <c r="B129" t="s">
        <v>274</v>
      </c>
      <c r="C129" t="s">
        <v>163</v>
      </c>
      <c r="D129" s="3">
        <v>1</v>
      </c>
      <c r="E129" s="3">
        <v>3</v>
      </c>
      <c r="F129" s="3">
        <v>12</v>
      </c>
      <c r="G129" s="3">
        <v>128</v>
      </c>
      <c r="H129" s="5">
        <f t="shared" si="3"/>
        <v>4</v>
      </c>
    </row>
    <row r="130" spans="1:8" hidden="1" x14ac:dyDescent="0.3">
      <c r="A130" s="3">
        <v>2025</v>
      </c>
      <c r="B130" t="s">
        <v>255</v>
      </c>
      <c r="C130" t="s">
        <v>18</v>
      </c>
      <c r="D130" s="3">
        <v>4</v>
      </c>
      <c r="E130" s="3">
        <v>58</v>
      </c>
      <c r="F130" s="3">
        <v>158</v>
      </c>
      <c r="G130" s="3">
        <v>93</v>
      </c>
      <c r="H130" s="5">
        <f t="shared" si="3"/>
        <v>2.7241379310344827</v>
      </c>
    </row>
    <row r="131" spans="1:8" hidden="1" x14ac:dyDescent="0.3"/>
  </sheetData>
  <autoFilter ref="A1:H131" xr:uid="{A83E2B46-EC76-492D-B97B-80688B244242}">
    <filterColumn colId="2">
      <filters>
        <filter val="CA"/>
        <filter val="CO"/>
        <filter val="ID"/>
        <filter val="KS"/>
        <filter val="MO"/>
        <filter val="MT"/>
        <filter val="OR"/>
        <filter val="SD"/>
        <filter val="UT"/>
        <filter val="WA"/>
        <filter val="WY"/>
      </filters>
    </filterColumn>
    <sortState xmlns:xlrd2="http://schemas.microsoft.com/office/spreadsheetml/2017/richdata2" ref="A4:H129">
      <sortCondition ref="G1:G131"/>
    </sortState>
  </autoFilter>
  <sortState xmlns:xlrd2="http://schemas.microsoft.com/office/spreadsheetml/2017/richdata2" ref="A2:H130">
    <sortCondition descending="1" ref="H2:H1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1670-E94E-4572-AD0E-B9D696C49D7F}">
  <sheetPr filterMode="1"/>
  <dimension ref="A1:H117"/>
  <sheetViews>
    <sheetView topLeftCell="A17" workbookViewId="0">
      <selection activeCell="A17" sqref="A17:H112"/>
    </sheetView>
  </sheetViews>
  <sheetFormatPr defaultRowHeight="14.4" x14ac:dyDescent="0.3"/>
  <cols>
    <col min="1" max="1" width="8.88671875" style="3"/>
    <col min="2" max="2" width="38.88671875" style="3" customWidth="1"/>
    <col min="3" max="7" width="8.88671875" style="3"/>
    <col min="8" max="8" width="18.109375" style="5" customWidth="1"/>
  </cols>
  <sheetData>
    <row r="1" spans="1:8" x14ac:dyDescent="0.3">
      <c r="A1" s="4" t="s">
        <v>1</v>
      </c>
      <c r="B1" s="4" t="s">
        <v>2</v>
      </c>
      <c r="C1" s="4" t="s">
        <v>7</v>
      </c>
      <c r="D1" s="4" t="s">
        <v>3</v>
      </c>
      <c r="E1" s="4" t="s">
        <v>4</v>
      </c>
      <c r="F1" s="4" t="s">
        <v>5</v>
      </c>
      <c r="G1" s="4" t="s">
        <v>0</v>
      </c>
      <c r="H1" s="6" t="s">
        <v>282</v>
      </c>
    </row>
    <row r="2" spans="1:8" hidden="1" x14ac:dyDescent="0.3">
      <c r="A2" s="3">
        <v>2024</v>
      </c>
      <c r="B2" s="3" t="s">
        <v>81</v>
      </c>
      <c r="C2" s="3" t="s">
        <v>159</v>
      </c>
      <c r="D2" s="3">
        <v>3</v>
      </c>
      <c r="E2" s="3">
        <v>1</v>
      </c>
      <c r="F2" s="3">
        <v>745</v>
      </c>
      <c r="G2" s="3">
        <v>53</v>
      </c>
      <c r="H2" s="5">
        <f t="shared" ref="H2:H33" si="0">F2/E2</f>
        <v>745</v>
      </c>
    </row>
    <row r="3" spans="1:8" hidden="1" x14ac:dyDescent="0.3">
      <c r="A3" s="3">
        <v>2024</v>
      </c>
      <c r="B3" s="3" t="s">
        <v>70</v>
      </c>
      <c r="C3" s="3" t="s">
        <v>154</v>
      </c>
      <c r="D3" s="3">
        <v>3</v>
      </c>
      <c r="E3" s="3">
        <v>3</v>
      </c>
      <c r="F3" s="3">
        <v>1160</v>
      </c>
      <c r="G3" s="3">
        <v>41</v>
      </c>
      <c r="H3" s="5">
        <f t="shared" si="0"/>
        <v>386.66666666666669</v>
      </c>
    </row>
    <row r="4" spans="1:8" hidden="1" x14ac:dyDescent="0.3">
      <c r="A4" s="3">
        <v>2024</v>
      </c>
      <c r="B4" s="3" t="s">
        <v>80</v>
      </c>
      <c r="C4" s="3" t="s">
        <v>157</v>
      </c>
      <c r="D4" s="3">
        <v>9</v>
      </c>
      <c r="E4" s="3">
        <v>3</v>
      </c>
      <c r="F4" s="3">
        <v>905</v>
      </c>
      <c r="G4" s="3">
        <v>52</v>
      </c>
      <c r="H4" s="5">
        <f t="shared" si="0"/>
        <v>301.66666666666669</v>
      </c>
    </row>
    <row r="5" spans="1:8" hidden="1" x14ac:dyDescent="0.3">
      <c r="A5" s="3">
        <v>2024</v>
      </c>
      <c r="B5" s="3" t="s">
        <v>36</v>
      </c>
      <c r="C5" s="3" t="s">
        <v>143</v>
      </c>
      <c r="D5" s="3">
        <v>9</v>
      </c>
      <c r="E5" s="3">
        <v>48</v>
      </c>
      <c r="F5" s="3">
        <v>13446</v>
      </c>
      <c r="G5" s="3">
        <v>1</v>
      </c>
      <c r="H5" s="5">
        <f t="shared" si="0"/>
        <v>280.125</v>
      </c>
    </row>
    <row r="6" spans="1:8" hidden="1" x14ac:dyDescent="0.3">
      <c r="A6" s="3">
        <v>2024</v>
      </c>
      <c r="B6" s="3" t="s">
        <v>93</v>
      </c>
      <c r="C6" s="3" t="s">
        <v>150</v>
      </c>
      <c r="D6" s="3">
        <v>4</v>
      </c>
      <c r="E6" s="3">
        <v>2</v>
      </c>
      <c r="F6" s="3">
        <v>531</v>
      </c>
      <c r="G6" s="3">
        <v>65</v>
      </c>
      <c r="H6" s="5">
        <f t="shared" si="0"/>
        <v>265.5</v>
      </c>
    </row>
    <row r="7" spans="1:8" hidden="1" x14ac:dyDescent="0.3">
      <c r="A7" s="3">
        <v>2024</v>
      </c>
      <c r="B7" s="3" t="s">
        <v>16</v>
      </c>
      <c r="C7" s="3" t="s">
        <v>148</v>
      </c>
      <c r="D7" s="3">
        <v>7</v>
      </c>
      <c r="E7" s="3">
        <v>25</v>
      </c>
      <c r="F7" s="3">
        <v>6526</v>
      </c>
      <c r="G7" s="3">
        <v>10</v>
      </c>
      <c r="H7" s="5">
        <f t="shared" si="0"/>
        <v>261.04000000000002</v>
      </c>
    </row>
    <row r="8" spans="1:8" hidden="1" x14ac:dyDescent="0.3">
      <c r="A8" s="3">
        <v>2024</v>
      </c>
      <c r="B8" s="3" t="s">
        <v>39</v>
      </c>
      <c r="C8" s="3" t="s">
        <v>146</v>
      </c>
      <c r="D8" s="3">
        <v>8</v>
      </c>
      <c r="E8" s="3">
        <v>57</v>
      </c>
      <c r="F8" s="3">
        <v>12523</v>
      </c>
      <c r="G8" s="3">
        <v>4</v>
      </c>
      <c r="H8" s="5">
        <f t="shared" si="0"/>
        <v>219.7017543859649</v>
      </c>
    </row>
    <row r="9" spans="1:8" hidden="1" x14ac:dyDescent="0.3">
      <c r="A9" s="3">
        <v>2024</v>
      </c>
      <c r="B9" s="3" t="s">
        <v>10</v>
      </c>
      <c r="C9" s="3" t="s">
        <v>149</v>
      </c>
      <c r="D9" s="3">
        <v>5</v>
      </c>
      <c r="E9" s="3">
        <v>30</v>
      </c>
      <c r="F9" s="3">
        <v>6398</v>
      </c>
      <c r="G9" s="3">
        <v>11</v>
      </c>
      <c r="H9" s="5">
        <f t="shared" si="0"/>
        <v>213.26666666666668</v>
      </c>
    </row>
    <row r="10" spans="1:8" hidden="1" x14ac:dyDescent="0.3">
      <c r="A10" s="3">
        <v>2024</v>
      </c>
      <c r="B10" s="3" t="s">
        <v>51</v>
      </c>
      <c r="C10" s="3" t="s">
        <v>149</v>
      </c>
      <c r="D10" s="3">
        <v>5</v>
      </c>
      <c r="E10" s="3">
        <v>12</v>
      </c>
      <c r="F10" s="3">
        <v>2549</v>
      </c>
      <c r="G10" s="3">
        <v>22</v>
      </c>
      <c r="H10" s="5">
        <f t="shared" si="0"/>
        <v>212.41666666666666</v>
      </c>
    </row>
    <row r="11" spans="1:8" hidden="1" x14ac:dyDescent="0.3">
      <c r="A11" s="3">
        <v>2024</v>
      </c>
      <c r="B11" s="3" t="s">
        <v>37</v>
      </c>
      <c r="C11" s="3" t="s">
        <v>144</v>
      </c>
      <c r="D11" s="3">
        <v>7</v>
      </c>
      <c r="E11" s="3">
        <v>68</v>
      </c>
      <c r="F11" s="3">
        <v>13313</v>
      </c>
      <c r="G11" s="3">
        <v>2</v>
      </c>
      <c r="H11" s="5">
        <f t="shared" si="0"/>
        <v>195.77941176470588</v>
      </c>
    </row>
    <row r="12" spans="1:8" hidden="1" x14ac:dyDescent="0.3">
      <c r="A12" s="3">
        <v>2024</v>
      </c>
      <c r="B12" s="3" t="s">
        <v>9</v>
      </c>
      <c r="C12" s="3" t="s">
        <v>143</v>
      </c>
      <c r="D12" s="3">
        <v>9</v>
      </c>
      <c r="E12" s="3">
        <v>55</v>
      </c>
      <c r="F12" s="3">
        <v>10536</v>
      </c>
      <c r="G12" s="3">
        <v>5</v>
      </c>
      <c r="H12" s="5">
        <f t="shared" si="0"/>
        <v>191.56363636363636</v>
      </c>
    </row>
    <row r="13" spans="1:8" hidden="1" x14ac:dyDescent="0.3">
      <c r="A13" s="3">
        <v>2024</v>
      </c>
      <c r="B13" s="3" t="s">
        <v>40</v>
      </c>
      <c r="C13" s="3" t="s">
        <v>146</v>
      </c>
      <c r="D13" s="3">
        <v>8</v>
      </c>
      <c r="E13" s="3">
        <v>52</v>
      </c>
      <c r="F13" s="3">
        <v>9645</v>
      </c>
      <c r="G13" s="3">
        <v>7</v>
      </c>
      <c r="H13" s="5">
        <f t="shared" si="0"/>
        <v>185.48076923076923</v>
      </c>
    </row>
    <row r="14" spans="1:8" hidden="1" x14ac:dyDescent="0.3">
      <c r="A14" s="3">
        <v>2024</v>
      </c>
      <c r="B14" s="3" t="s">
        <v>14</v>
      </c>
      <c r="C14" s="3" t="s">
        <v>143</v>
      </c>
      <c r="D14" s="3">
        <v>9</v>
      </c>
      <c r="E14" s="3">
        <v>37</v>
      </c>
      <c r="F14" s="3">
        <v>6647</v>
      </c>
      <c r="G14" s="3">
        <v>9</v>
      </c>
      <c r="H14" s="5">
        <f t="shared" si="0"/>
        <v>179.64864864864865</v>
      </c>
    </row>
    <row r="15" spans="1:8" hidden="1" x14ac:dyDescent="0.3">
      <c r="A15" s="3">
        <v>2024</v>
      </c>
      <c r="B15" s="3" t="s">
        <v>50</v>
      </c>
      <c r="C15" s="3" t="s">
        <v>154</v>
      </c>
      <c r="D15" s="3">
        <v>3</v>
      </c>
      <c r="E15" s="3">
        <v>15</v>
      </c>
      <c r="F15" s="3">
        <v>2588</v>
      </c>
      <c r="G15" s="3">
        <v>21</v>
      </c>
      <c r="H15" s="5">
        <f t="shared" si="0"/>
        <v>172.53333333333333</v>
      </c>
    </row>
    <row r="16" spans="1:8" hidden="1" x14ac:dyDescent="0.3">
      <c r="A16" s="3">
        <v>2024</v>
      </c>
      <c r="B16" s="3" t="s">
        <v>8</v>
      </c>
      <c r="C16" s="3" t="s">
        <v>147</v>
      </c>
      <c r="D16" s="3">
        <v>8</v>
      </c>
      <c r="E16" s="3">
        <v>61</v>
      </c>
      <c r="F16" s="3">
        <v>10326</v>
      </c>
      <c r="G16" s="3">
        <v>6</v>
      </c>
      <c r="H16" s="5">
        <f t="shared" si="0"/>
        <v>169.27868852459017</v>
      </c>
    </row>
    <row r="17" spans="1:8" x14ac:dyDescent="0.3">
      <c r="A17" s="3">
        <v>2024</v>
      </c>
      <c r="B17" s="3" t="s">
        <v>46</v>
      </c>
      <c r="C17" s="3" t="s">
        <v>152</v>
      </c>
      <c r="D17" s="3">
        <v>2</v>
      </c>
      <c r="E17" s="3">
        <v>28</v>
      </c>
      <c r="F17" s="3">
        <v>4012</v>
      </c>
      <c r="G17" s="3">
        <v>17</v>
      </c>
      <c r="H17" s="5">
        <f t="shared" si="0"/>
        <v>143.28571428571428</v>
      </c>
    </row>
    <row r="18" spans="1:8" hidden="1" x14ac:dyDescent="0.3">
      <c r="A18" s="3">
        <v>2024</v>
      </c>
      <c r="B18" s="3" t="s">
        <v>38</v>
      </c>
      <c r="C18" s="3" t="s">
        <v>145</v>
      </c>
      <c r="D18" s="3">
        <v>9</v>
      </c>
      <c r="E18" s="3">
        <v>80</v>
      </c>
      <c r="F18" s="3">
        <v>13058</v>
      </c>
      <c r="G18" s="3">
        <v>3</v>
      </c>
      <c r="H18" s="5">
        <f t="shared" si="0"/>
        <v>163.22499999999999</v>
      </c>
    </row>
    <row r="19" spans="1:8" hidden="1" x14ac:dyDescent="0.3">
      <c r="A19" s="3">
        <v>2024</v>
      </c>
      <c r="B19" s="3" t="s">
        <v>72</v>
      </c>
      <c r="C19" s="3" t="s">
        <v>162</v>
      </c>
      <c r="D19" s="3">
        <v>9</v>
      </c>
      <c r="E19" s="3">
        <v>7</v>
      </c>
      <c r="F19" s="3">
        <v>1128</v>
      </c>
      <c r="G19" s="3">
        <v>43</v>
      </c>
      <c r="H19" s="5">
        <f t="shared" si="0"/>
        <v>161.14285714285714</v>
      </c>
    </row>
    <row r="20" spans="1:8" hidden="1" x14ac:dyDescent="0.3">
      <c r="A20" s="3">
        <v>2024</v>
      </c>
      <c r="B20" s="3" t="s">
        <v>11</v>
      </c>
      <c r="C20" s="3" t="s">
        <v>147</v>
      </c>
      <c r="D20" s="3">
        <v>8</v>
      </c>
      <c r="E20" s="3">
        <v>32</v>
      </c>
      <c r="F20" s="3">
        <v>4991</v>
      </c>
      <c r="G20" s="3">
        <v>14</v>
      </c>
      <c r="H20" s="5">
        <f t="shared" si="0"/>
        <v>155.96875</v>
      </c>
    </row>
    <row r="21" spans="1:8" hidden="1" x14ac:dyDescent="0.3">
      <c r="A21" s="3">
        <v>2024</v>
      </c>
      <c r="B21" s="3" t="s">
        <v>15</v>
      </c>
      <c r="C21" s="3" t="s">
        <v>147</v>
      </c>
      <c r="D21" s="3">
        <v>8</v>
      </c>
      <c r="E21" s="3">
        <v>43</v>
      </c>
      <c r="F21" s="3">
        <v>6690</v>
      </c>
      <c r="G21" s="3">
        <v>8</v>
      </c>
      <c r="H21" s="5">
        <f t="shared" si="0"/>
        <v>155.58139534883722</v>
      </c>
    </row>
    <row r="22" spans="1:8" hidden="1" x14ac:dyDescent="0.3">
      <c r="A22" s="3">
        <v>2024</v>
      </c>
      <c r="B22" s="3" t="s">
        <v>44</v>
      </c>
      <c r="C22" s="3" t="s">
        <v>151</v>
      </c>
      <c r="D22" s="3">
        <v>8</v>
      </c>
      <c r="E22" s="3">
        <v>31</v>
      </c>
      <c r="F22" s="3">
        <v>4449</v>
      </c>
      <c r="G22" s="3">
        <v>15</v>
      </c>
      <c r="H22" s="5">
        <f t="shared" si="0"/>
        <v>143.51612903225808</v>
      </c>
    </row>
    <row r="23" spans="1:8" x14ac:dyDescent="0.3">
      <c r="A23" s="3">
        <v>2024</v>
      </c>
      <c r="B23" s="3" t="s">
        <v>49</v>
      </c>
      <c r="C23" s="3" t="s">
        <v>152</v>
      </c>
      <c r="D23" s="3">
        <v>2</v>
      </c>
      <c r="E23" s="3">
        <v>28</v>
      </c>
      <c r="F23" s="3">
        <v>2609</v>
      </c>
      <c r="G23" s="3">
        <v>20</v>
      </c>
      <c r="H23" s="5">
        <f t="shared" si="0"/>
        <v>93.178571428571431</v>
      </c>
    </row>
    <row r="24" spans="1:8" hidden="1" x14ac:dyDescent="0.3">
      <c r="A24" s="3">
        <v>2024</v>
      </c>
      <c r="B24" s="3" t="s">
        <v>63</v>
      </c>
      <c r="C24" s="3" t="s">
        <v>159</v>
      </c>
      <c r="D24" s="3">
        <v>3</v>
      </c>
      <c r="E24" s="3">
        <v>9</v>
      </c>
      <c r="F24" s="3">
        <v>1277</v>
      </c>
      <c r="G24" s="3">
        <v>34</v>
      </c>
      <c r="H24" s="5">
        <f t="shared" si="0"/>
        <v>141.88888888888889</v>
      </c>
    </row>
    <row r="25" spans="1:8" x14ac:dyDescent="0.3">
      <c r="A25" s="3">
        <v>2024</v>
      </c>
      <c r="B25" s="3" t="s">
        <v>54</v>
      </c>
      <c r="C25" s="3" t="s">
        <v>155</v>
      </c>
      <c r="D25" s="3">
        <v>5</v>
      </c>
      <c r="E25" s="3">
        <v>19</v>
      </c>
      <c r="F25" s="3">
        <v>1845</v>
      </c>
      <c r="G25" s="3">
        <v>25</v>
      </c>
      <c r="H25" s="5">
        <f t="shared" si="0"/>
        <v>97.10526315789474</v>
      </c>
    </row>
    <row r="26" spans="1:8" hidden="1" x14ac:dyDescent="0.3">
      <c r="A26" s="3">
        <v>2024</v>
      </c>
      <c r="B26" s="3" t="s">
        <v>43</v>
      </c>
      <c r="C26" s="3" t="s">
        <v>150</v>
      </c>
      <c r="D26" s="3">
        <v>4</v>
      </c>
      <c r="E26" s="3">
        <v>44</v>
      </c>
      <c r="F26" s="3">
        <v>5957</v>
      </c>
      <c r="G26" s="3">
        <v>13</v>
      </c>
      <c r="H26" s="5">
        <f t="shared" si="0"/>
        <v>135.38636363636363</v>
      </c>
    </row>
    <row r="27" spans="1:8" x14ac:dyDescent="0.3">
      <c r="A27" s="3">
        <v>2024</v>
      </c>
      <c r="B27" s="3" t="s">
        <v>55</v>
      </c>
      <c r="C27" s="3" t="s">
        <v>156</v>
      </c>
      <c r="D27" s="3">
        <v>4</v>
      </c>
      <c r="E27" s="3">
        <v>11</v>
      </c>
      <c r="F27" s="3">
        <v>1824</v>
      </c>
      <c r="G27" s="3">
        <v>26</v>
      </c>
      <c r="H27" s="5">
        <f t="shared" si="0"/>
        <v>165.81818181818181</v>
      </c>
    </row>
    <row r="28" spans="1:8" hidden="1" x14ac:dyDescent="0.3">
      <c r="A28" s="3">
        <v>2024</v>
      </c>
      <c r="B28" s="3" t="s">
        <v>52</v>
      </c>
      <c r="C28" s="3" t="s">
        <v>146</v>
      </c>
      <c r="D28" s="3">
        <v>8</v>
      </c>
      <c r="E28" s="3">
        <v>23</v>
      </c>
      <c r="F28" s="3">
        <v>2471</v>
      </c>
      <c r="G28" s="3">
        <v>23</v>
      </c>
      <c r="H28" s="5">
        <f t="shared" si="0"/>
        <v>107.43478260869566</v>
      </c>
    </row>
    <row r="29" spans="1:8" hidden="1" x14ac:dyDescent="0.3">
      <c r="A29" s="3">
        <v>2024</v>
      </c>
      <c r="B29" s="3" t="s">
        <v>71</v>
      </c>
      <c r="C29" s="3" t="s">
        <v>159</v>
      </c>
      <c r="D29" s="3">
        <v>3</v>
      </c>
      <c r="E29" s="3">
        <v>11</v>
      </c>
      <c r="F29" s="3">
        <v>1143</v>
      </c>
      <c r="G29" s="3">
        <v>42</v>
      </c>
      <c r="H29" s="5">
        <f t="shared" si="0"/>
        <v>103.90909090909091</v>
      </c>
    </row>
    <row r="30" spans="1:8" hidden="1" x14ac:dyDescent="0.3">
      <c r="A30" s="3">
        <v>2024</v>
      </c>
      <c r="B30" s="3" t="s">
        <v>45</v>
      </c>
      <c r="C30" s="3" t="s">
        <v>147</v>
      </c>
      <c r="D30" s="3">
        <v>8</v>
      </c>
      <c r="E30" s="3">
        <v>40</v>
      </c>
      <c r="F30" s="3">
        <v>4150</v>
      </c>
      <c r="G30" s="3">
        <v>16</v>
      </c>
      <c r="H30" s="5">
        <f t="shared" si="0"/>
        <v>103.75</v>
      </c>
    </row>
    <row r="31" spans="1:8" hidden="1" x14ac:dyDescent="0.3">
      <c r="A31" s="3">
        <v>2024</v>
      </c>
      <c r="B31" s="3" t="s">
        <v>76</v>
      </c>
      <c r="C31" s="3" t="s">
        <v>17</v>
      </c>
      <c r="D31" s="3">
        <v>9</v>
      </c>
      <c r="E31" s="3">
        <v>10</v>
      </c>
      <c r="F31" s="3">
        <v>1036</v>
      </c>
      <c r="G31" s="3">
        <v>48</v>
      </c>
      <c r="H31" s="5">
        <f t="shared" si="0"/>
        <v>103.6</v>
      </c>
    </row>
    <row r="32" spans="1:8" hidden="1" x14ac:dyDescent="0.3">
      <c r="A32" s="3">
        <v>2024</v>
      </c>
      <c r="B32" s="3" t="s">
        <v>79</v>
      </c>
      <c r="C32" s="3" t="s">
        <v>157</v>
      </c>
      <c r="D32" s="3">
        <v>9</v>
      </c>
      <c r="E32" s="3">
        <v>9</v>
      </c>
      <c r="F32" s="3">
        <v>920</v>
      </c>
      <c r="G32" s="3">
        <v>51</v>
      </c>
      <c r="H32" s="5">
        <f t="shared" si="0"/>
        <v>102.22222222222223</v>
      </c>
    </row>
    <row r="33" spans="1:8" x14ac:dyDescent="0.3">
      <c r="A33" s="3">
        <v>2024</v>
      </c>
      <c r="B33" s="3" t="s">
        <v>58</v>
      </c>
      <c r="C33" s="3" t="s">
        <v>152</v>
      </c>
      <c r="D33" s="3">
        <v>2</v>
      </c>
      <c r="E33" s="3">
        <v>15</v>
      </c>
      <c r="F33" s="3">
        <v>1532</v>
      </c>
      <c r="G33" s="3">
        <v>29</v>
      </c>
      <c r="H33" s="5">
        <f t="shared" si="0"/>
        <v>102.13333333333334</v>
      </c>
    </row>
    <row r="34" spans="1:8" hidden="1" x14ac:dyDescent="0.3">
      <c r="A34" s="3">
        <v>2024</v>
      </c>
      <c r="B34" s="3" t="s">
        <v>69</v>
      </c>
      <c r="C34" s="3" t="s">
        <v>150</v>
      </c>
      <c r="D34" s="3">
        <v>4</v>
      </c>
      <c r="E34" s="3">
        <v>12</v>
      </c>
      <c r="F34" s="3">
        <v>1177</v>
      </c>
      <c r="G34" s="3">
        <v>40</v>
      </c>
      <c r="H34" s="5">
        <f t="shared" ref="H34:H65" si="1">F34/E34</f>
        <v>98.083333333333329</v>
      </c>
    </row>
    <row r="35" spans="1:8" x14ac:dyDescent="0.3">
      <c r="A35" s="3">
        <v>2024</v>
      </c>
      <c r="B35" s="3" t="s">
        <v>61</v>
      </c>
      <c r="C35" s="3" t="s">
        <v>158</v>
      </c>
      <c r="D35" s="3">
        <v>2</v>
      </c>
      <c r="E35" s="3">
        <v>17</v>
      </c>
      <c r="F35" s="3">
        <v>1299</v>
      </c>
      <c r="G35" s="3">
        <v>32</v>
      </c>
      <c r="H35" s="5">
        <f t="shared" si="1"/>
        <v>76.411764705882348</v>
      </c>
    </row>
    <row r="36" spans="1:8" hidden="1" x14ac:dyDescent="0.3">
      <c r="A36" s="3">
        <v>2024</v>
      </c>
      <c r="B36" s="3" t="s">
        <v>94</v>
      </c>
      <c r="C36" s="3" t="s">
        <v>160</v>
      </c>
      <c r="D36" s="3">
        <v>8</v>
      </c>
      <c r="E36" s="3">
        <v>5</v>
      </c>
      <c r="F36" s="3">
        <v>474</v>
      </c>
      <c r="G36" s="3">
        <v>66</v>
      </c>
      <c r="H36" s="5">
        <f t="shared" si="1"/>
        <v>94.8</v>
      </c>
    </row>
    <row r="37" spans="1:8" x14ac:dyDescent="0.3">
      <c r="A37" s="3">
        <v>2024</v>
      </c>
      <c r="B37" s="3" t="s">
        <v>65</v>
      </c>
      <c r="C37" s="3" t="s">
        <v>152</v>
      </c>
      <c r="D37" s="3">
        <v>2</v>
      </c>
      <c r="E37" s="3">
        <v>21</v>
      </c>
      <c r="F37" s="3">
        <v>1243</v>
      </c>
      <c r="G37" s="3">
        <v>36</v>
      </c>
      <c r="H37" s="5">
        <f t="shared" si="1"/>
        <v>59.19047619047619</v>
      </c>
    </row>
    <row r="38" spans="1:8" hidden="1" x14ac:dyDescent="0.3">
      <c r="A38" s="3">
        <v>2024</v>
      </c>
      <c r="B38" s="3" t="s">
        <v>60</v>
      </c>
      <c r="C38" s="3" t="s">
        <v>154</v>
      </c>
      <c r="D38" s="3">
        <v>3</v>
      </c>
      <c r="E38" s="3">
        <v>15</v>
      </c>
      <c r="F38" s="3">
        <v>1391</v>
      </c>
      <c r="G38" s="3">
        <v>31</v>
      </c>
      <c r="H38" s="5">
        <f t="shared" si="1"/>
        <v>92.733333333333334</v>
      </c>
    </row>
    <row r="39" spans="1:8" hidden="1" x14ac:dyDescent="0.3">
      <c r="A39" s="3">
        <v>2024</v>
      </c>
      <c r="B39" s="3" t="s">
        <v>53</v>
      </c>
      <c r="C39" s="3" t="s">
        <v>146</v>
      </c>
      <c r="D39" s="3">
        <v>8</v>
      </c>
      <c r="E39" s="3">
        <v>24</v>
      </c>
      <c r="F39" s="3">
        <v>2217</v>
      </c>
      <c r="G39" s="3">
        <v>24</v>
      </c>
      <c r="H39" s="5">
        <f t="shared" si="1"/>
        <v>92.375</v>
      </c>
    </row>
    <row r="40" spans="1:8" hidden="1" x14ac:dyDescent="0.3">
      <c r="A40" s="3">
        <v>2024</v>
      </c>
      <c r="B40" s="3" t="s">
        <v>82</v>
      </c>
      <c r="C40" s="3" t="s">
        <v>154</v>
      </c>
      <c r="D40" s="3">
        <v>3</v>
      </c>
      <c r="E40" s="3">
        <v>8</v>
      </c>
      <c r="F40" s="3">
        <v>728</v>
      </c>
      <c r="G40" s="3">
        <v>54</v>
      </c>
      <c r="H40" s="5">
        <f t="shared" si="1"/>
        <v>91</v>
      </c>
    </row>
    <row r="41" spans="1:8" hidden="1" x14ac:dyDescent="0.3">
      <c r="A41" s="3">
        <v>2024</v>
      </c>
      <c r="B41" s="3" t="s">
        <v>66</v>
      </c>
      <c r="C41" s="3" t="s">
        <v>144</v>
      </c>
      <c r="D41" s="3">
        <v>7</v>
      </c>
      <c r="E41" s="3">
        <v>14</v>
      </c>
      <c r="F41" s="3">
        <v>1203</v>
      </c>
      <c r="G41" s="3">
        <v>37</v>
      </c>
      <c r="H41" s="5">
        <f t="shared" si="1"/>
        <v>85.928571428571431</v>
      </c>
    </row>
    <row r="42" spans="1:8" hidden="1" x14ac:dyDescent="0.3">
      <c r="A42" s="3">
        <v>2024</v>
      </c>
      <c r="B42" s="3" t="s">
        <v>42</v>
      </c>
      <c r="C42" s="3" t="s">
        <v>147</v>
      </c>
      <c r="D42" s="3">
        <v>8</v>
      </c>
      <c r="E42" s="3">
        <v>72</v>
      </c>
      <c r="F42" s="3">
        <v>6042</v>
      </c>
      <c r="G42" s="3">
        <v>12</v>
      </c>
      <c r="H42" s="5">
        <f t="shared" si="1"/>
        <v>83.916666666666671</v>
      </c>
    </row>
    <row r="43" spans="1:8" hidden="1" x14ac:dyDescent="0.3">
      <c r="A43" s="3">
        <v>2024</v>
      </c>
      <c r="B43" s="3" t="s">
        <v>99</v>
      </c>
      <c r="C43" s="3" t="s">
        <v>166</v>
      </c>
      <c r="D43" s="3">
        <v>6</v>
      </c>
      <c r="E43" s="3">
        <v>5</v>
      </c>
      <c r="F43" s="3">
        <v>408</v>
      </c>
      <c r="G43" s="3">
        <v>71</v>
      </c>
      <c r="H43" s="5">
        <f t="shared" si="1"/>
        <v>81.599999999999994</v>
      </c>
    </row>
    <row r="44" spans="1:8" hidden="1" x14ac:dyDescent="0.3">
      <c r="A44" s="3">
        <v>2024</v>
      </c>
      <c r="B44" s="3" t="s">
        <v>62</v>
      </c>
      <c r="C44" s="3" t="s">
        <v>154</v>
      </c>
      <c r="D44" s="3">
        <v>3</v>
      </c>
      <c r="E44" s="3">
        <v>16</v>
      </c>
      <c r="F44" s="3">
        <v>1292</v>
      </c>
      <c r="G44" s="3">
        <v>33</v>
      </c>
      <c r="H44" s="5">
        <f t="shared" si="1"/>
        <v>80.75</v>
      </c>
    </row>
    <row r="45" spans="1:8" hidden="1" x14ac:dyDescent="0.3">
      <c r="A45" s="3">
        <v>2024</v>
      </c>
      <c r="B45" s="3" t="s">
        <v>64</v>
      </c>
      <c r="C45" s="3" t="s">
        <v>154</v>
      </c>
      <c r="D45" s="3">
        <v>3</v>
      </c>
      <c r="E45" s="3">
        <v>16</v>
      </c>
      <c r="F45" s="3">
        <v>1259</v>
      </c>
      <c r="G45" s="3">
        <v>35</v>
      </c>
      <c r="H45" s="5">
        <f t="shared" si="1"/>
        <v>78.6875</v>
      </c>
    </row>
    <row r="46" spans="1:8" x14ac:dyDescent="0.3">
      <c r="A46" s="3">
        <v>2024</v>
      </c>
      <c r="B46" s="3" t="s">
        <v>68</v>
      </c>
      <c r="C46" s="3" t="s">
        <v>161</v>
      </c>
      <c r="D46" s="3">
        <v>1</v>
      </c>
      <c r="E46" s="3">
        <v>23</v>
      </c>
      <c r="F46" s="3">
        <v>1195</v>
      </c>
      <c r="G46" s="3">
        <v>39</v>
      </c>
      <c r="H46" s="5">
        <f t="shared" si="1"/>
        <v>51.956521739130437</v>
      </c>
    </row>
    <row r="47" spans="1:8" x14ac:dyDescent="0.3">
      <c r="A47" s="3">
        <v>2024</v>
      </c>
      <c r="B47" s="3" t="s">
        <v>12</v>
      </c>
      <c r="C47" s="3" t="s">
        <v>163</v>
      </c>
      <c r="D47" s="3">
        <v>1</v>
      </c>
      <c r="E47" s="3">
        <v>17</v>
      </c>
      <c r="F47" s="3">
        <v>1123</v>
      </c>
      <c r="G47" s="3">
        <v>44</v>
      </c>
      <c r="H47" s="5">
        <f t="shared" si="1"/>
        <v>66.058823529411768</v>
      </c>
    </row>
    <row r="48" spans="1:8" hidden="1" x14ac:dyDescent="0.3">
      <c r="A48" s="3">
        <v>2024</v>
      </c>
      <c r="B48" s="3" t="s">
        <v>97</v>
      </c>
      <c r="C48" s="3" t="s">
        <v>151</v>
      </c>
      <c r="D48" s="3">
        <v>8</v>
      </c>
      <c r="E48" s="3">
        <v>6</v>
      </c>
      <c r="F48" s="3">
        <v>440</v>
      </c>
      <c r="G48" s="3">
        <v>69</v>
      </c>
      <c r="H48" s="5">
        <f t="shared" si="1"/>
        <v>73.333333333333329</v>
      </c>
    </row>
    <row r="49" spans="1:8" hidden="1" x14ac:dyDescent="0.3">
      <c r="A49" s="3">
        <v>2024</v>
      </c>
      <c r="B49" s="3" t="s">
        <v>123</v>
      </c>
      <c r="C49" s="3" t="s">
        <v>146</v>
      </c>
      <c r="D49" s="3">
        <v>8</v>
      </c>
      <c r="E49" s="3">
        <v>2</v>
      </c>
      <c r="F49" s="3">
        <v>146</v>
      </c>
      <c r="G49" s="3">
        <v>96</v>
      </c>
      <c r="H49" s="5">
        <f t="shared" si="1"/>
        <v>73</v>
      </c>
    </row>
    <row r="50" spans="1:8" hidden="1" x14ac:dyDescent="0.3">
      <c r="A50" s="3">
        <v>2024</v>
      </c>
      <c r="B50" s="3" t="s">
        <v>47</v>
      </c>
      <c r="C50" s="3" t="s">
        <v>153</v>
      </c>
      <c r="D50" s="3">
        <v>6</v>
      </c>
      <c r="E50" s="3">
        <v>46</v>
      </c>
      <c r="F50" s="3">
        <v>3313</v>
      </c>
      <c r="G50" s="3">
        <v>18</v>
      </c>
      <c r="H50" s="5">
        <f t="shared" si="1"/>
        <v>72.021739130434781</v>
      </c>
    </row>
    <row r="51" spans="1:8" hidden="1" x14ac:dyDescent="0.3">
      <c r="A51" s="3">
        <v>2024</v>
      </c>
      <c r="B51" s="3" t="s">
        <v>74</v>
      </c>
      <c r="C51" s="3" t="s">
        <v>159</v>
      </c>
      <c r="D51" s="3">
        <v>3</v>
      </c>
      <c r="E51" s="3">
        <v>15</v>
      </c>
      <c r="F51" s="3">
        <v>1064</v>
      </c>
      <c r="G51" s="3">
        <v>46</v>
      </c>
      <c r="H51" s="5">
        <f t="shared" si="1"/>
        <v>70.933333333333337</v>
      </c>
    </row>
    <row r="52" spans="1:8" x14ac:dyDescent="0.3">
      <c r="A52" s="3">
        <v>2024</v>
      </c>
      <c r="B52" s="3" t="s">
        <v>73</v>
      </c>
      <c r="C52" s="3" t="s">
        <v>164</v>
      </c>
      <c r="D52" s="3">
        <v>3</v>
      </c>
      <c r="E52" s="3">
        <v>10</v>
      </c>
      <c r="F52" s="3">
        <v>1075</v>
      </c>
      <c r="G52" s="3">
        <v>45</v>
      </c>
      <c r="H52" s="5">
        <f t="shared" si="1"/>
        <v>107.5</v>
      </c>
    </row>
    <row r="53" spans="1:8" x14ac:dyDescent="0.3">
      <c r="A53" s="3">
        <v>2024</v>
      </c>
      <c r="B53" s="3" t="s">
        <v>75</v>
      </c>
      <c r="C53" s="3" t="s">
        <v>156</v>
      </c>
      <c r="D53" s="3">
        <v>4</v>
      </c>
      <c r="E53" s="3">
        <v>14</v>
      </c>
      <c r="F53" s="3">
        <v>1049</v>
      </c>
      <c r="G53" s="3">
        <v>47</v>
      </c>
      <c r="H53" s="5">
        <f t="shared" si="1"/>
        <v>74.928571428571431</v>
      </c>
    </row>
    <row r="54" spans="1:8" x14ac:dyDescent="0.3">
      <c r="A54" s="3">
        <v>2024</v>
      </c>
      <c r="B54" s="3" t="s">
        <v>89</v>
      </c>
      <c r="C54" s="3" t="s">
        <v>161</v>
      </c>
      <c r="D54" s="3">
        <v>1</v>
      </c>
      <c r="E54" s="3">
        <v>16</v>
      </c>
      <c r="F54" s="3">
        <v>576</v>
      </c>
      <c r="G54" s="3">
        <v>61</v>
      </c>
      <c r="H54" s="5">
        <f t="shared" si="1"/>
        <v>36</v>
      </c>
    </row>
    <row r="55" spans="1:8" hidden="1" x14ac:dyDescent="0.3">
      <c r="A55" s="3">
        <v>2024</v>
      </c>
      <c r="B55" s="3" t="s">
        <v>57</v>
      </c>
      <c r="C55" s="3" t="s">
        <v>150</v>
      </c>
      <c r="D55" s="3">
        <v>4</v>
      </c>
      <c r="E55" s="3">
        <v>24</v>
      </c>
      <c r="F55" s="3">
        <v>1580</v>
      </c>
      <c r="G55" s="3">
        <v>28</v>
      </c>
      <c r="H55" s="5">
        <f t="shared" si="1"/>
        <v>65.833333333333329</v>
      </c>
    </row>
    <row r="56" spans="1:8" hidden="1" x14ac:dyDescent="0.3">
      <c r="A56" s="3">
        <v>2024</v>
      </c>
      <c r="B56" s="3" t="s">
        <v>128</v>
      </c>
      <c r="C56" s="3" t="s">
        <v>144</v>
      </c>
      <c r="D56" s="3">
        <v>7</v>
      </c>
      <c r="E56" s="3">
        <v>2</v>
      </c>
      <c r="F56" s="3">
        <v>130</v>
      </c>
      <c r="G56" s="3">
        <v>101</v>
      </c>
      <c r="H56" s="5">
        <f t="shared" si="1"/>
        <v>65</v>
      </c>
    </row>
    <row r="57" spans="1:8" x14ac:dyDescent="0.3">
      <c r="A57" s="3">
        <v>2024</v>
      </c>
      <c r="B57" s="3" t="s">
        <v>91</v>
      </c>
      <c r="C57" s="3" t="s">
        <v>152</v>
      </c>
      <c r="D57" s="3">
        <v>2</v>
      </c>
      <c r="E57" s="3">
        <v>4</v>
      </c>
      <c r="F57" s="3">
        <v>563</v>
      </c>
      <c r="G57" s="3">
        <v>63</v>
      </c>
      <c r="H57" s="5">
        <f t="shared" si="1"/>
        <v>140.75</v>
      </c>
    </row>
    <row r="58" spans="1:8" hidden="1" x14ac:dyDescent="0.3">
      <c r="A58" s="3">
        <v>2024</v>
      </c>
      <c r="B58" s="3" t="s">
        <v>98</v>
      </c>
      <c r="C58" s="3" t="s">
        <v>160</v>
      </c>
      <c r="D58" s="3">
        <v>8</v>
      </c>
      <c r="E58" s="3">
        <v>7</v>
      </c>
      <c r="F58" s="3">
        <v>412</v>
      </c>
      <c r="G58" s="3">
        <v>70</v>
      </c>
      <c r="H58" s="5">
        <f t="shared" si="1"/>
        <v>58.857142857142854</v>
      </c>
    </row>
    <row r="59" spans="1:8" hidden="1" x14ac:dyDescent="0.3">
      <c r="A59" s="3">
        <v>2024</v>
      </c>
      <c r="B59" s="3" t="s">
        <v>67</v>
      </c>
      <c r="C59" s="3" t="s">
        <v>160</v>
      </c>
      <c r="D59" s="3">
        <v>8</v>
      </c>
      <c r="E59" s="3">
        <v>21</v>
      </c>
      <c r="F59" s="3">
        <v>1198</v>
      </c>
      <c r="G59" s="3">
        <v>38</v>
      </c>
      <c r="H59" s="5">
        <f t="shared" si="1"/>
        <v>57.047619047619051</v>
      </c>
    </row>
    <row r="60" spans="1:8" hidden="1" x14ac:dyDescent="0.3">
      <c r="A60" s="3">
        <v>2024</v>
      </c>
      <c r="B60" s="3" t="s">
        <v>78</v>
      </c>
      <c r="C60" s="3" t="s">
        <v>150</v>
      </c>
      <c r="D60" s="3">
        <v>4</v>
      </c>
      <c r="E60" s="3">
        <v>18</v>
      </c>
      <c r="F60" s="3">
        <v>1005</v>
      </c>
      <c r="G60" s="3">
        <v>50</v>
      </c>
      <c r="H60" s="5">
        <f t="shared" si="1"/>
        <v>55.833333333333336</v>
      </c>
    </row>
    <row r="61" spans="1:8" hidden="1" x14ac:dyDescent="0.3">
      <c r="A61" s="3">
        <v>2024</v>
      </c>
      <c r="B61" s="3" t="s">
        <v>103</v>
      </c>
      <c r="C61" s="3" t="s">
        <v>168</v>
      </c>
      <c r="D61" s="3">
        <v>7</v>
      </c>
      <c r="E61" s="3">
        <v>6</v>
      </c>
      <c r="F61" s="3">
        <v>330</v>
      </c>
      <c r="G61" s="3">
        <v>75</v>
      </c>
      <c r="H61" s="5">
        <f t="shared" si="1"/>
        <v>55</v>
      </c>
    </row>
    <row r="62" spans="1:8" hidden="1" x14ac:dyDescent="0.3">
      <c r="A62" s="3">
        <v>2024</v>
      </c>
      <c r="B62" s="3" t="s">
        <v>77</v>
      </c>
      <c r="C62" s="3" t="s">
        <v>149</v>
      </c>
      <c r="D62" s="3">
        <v>5</v>
      </c>
      <c r="E62" s="3">
        <v>19</v>
      </c>
      <c r="F62" s="3">
        <v>1029</v>
      </c>
      <c r="G62" s="3">
        <v>49</v>
      </c>
      <c r="H62" s="5">
        <f t="shared" si="1"/>
        <v>54.157894736842103</v>
      </c>
    </row>
    <row r="63" spans="1:8" x14ac:dyDescent="0.3">
      <c r="A63" s="3">
        <v>2024</v>
      </c>
      <c r="B63" s="3" t="s">
        <v>95</v>
      </c>
      <c r="C63" s="3" t="s">
        <v>152</v>
      </c>
      <c r="D63" s="3">
        <v>2</v>
      </c>
      <c r="E63" s="3">
        <v>19</v>
      </c>
      <c r="F63" s="3">
        <v>459</v>
      </c>
      <c r="G63" s="3">
        <v>67</v>
      </c>
      <c r="H63" s="5">
        <f t="shared" si="1"/>
        <v>24.157894736842106</v>
      </c>
    </row>
    <row r="64" spans="1:8" x14ac:dyDescent="0.3">
      <c r="A64" s="3">
        <v>2024</v>
      </c>
      <c r="B64" s="3" t="s">
        <v>100</v>
      </c>
      <c r="C64" s="3" t="s">
        <v>156</v>
      </c>
      <c r="D64" s="3">
        <v>4</v>
      </c>
      <c r="E64" s="3">
        <v>15</v>
      </c>
      <c r="F64" s="3">
        <v>376</v>
      </c>
      <c r="G64" s="3">
        <v>72</v>
      </c>
      <c r="H64" s="5">
        <f t="shared" si="1"/>
        <v>25.066666666666666</v>
      </c>
    </row>
    <row r="65" spans="1:8" hidden="1" x14ac:dyDescent="0.3">
      <c r="A65" s="3">
        <v>2024</v>
      </c>
      <c r="B65" s="3" t="s">
        <v>101</v>
      </c>
      <c r="C65" s="3" t="s">
        <v>154</v>
      </c>
      <c r="D65" s="3">
        <v>3</v>
      </c>
      <c r="E65" s="3">
        <v>7</v>
      </c>
      <c r="F65" s="3">
        <v>358</v>
      </c>
      <c r="G65" s="3">
        <v>73</v>
      </c>
      <c r="H65" s="5">
        <f t="shared" si="1"/>
        <v>51.142857142857146</v>
      </c>
    </row>
    <row r="66" spans="1:8" hidden="1" x14ac:dyDescent="0.3">
      <c r="A66" s="3">
        <v>2024</v>
      </c>
      <c r="B66" s="3" t="s">
        <v>48</v>
      </c>
      <c r="C66" s="3" t="s">
        <v>153</v>
      </c>
      <c r="D66" s="3">
        <v>6</v>
      </c>
      <c r="E66" s="3">
        <v>54</v>
      </c>
      <c r="F66" s="3">
        <v>2736</v>
      </c>
      <c r="G66" s="3">
        <v>19</v>
      </c>
      <c r="H66" s="5">
        <f t="shared" ref="H66:H97" si="2">F66/E66</f>
        <v>50.666666666666664</v>
      </c>
    </row>
    <row r="67" spans="1:8" hidden="1" x14ac:dyDescent="0.3">
      <c r="A67" s="3">
        <v>2024</v>
      </c>
      <c r="B67" s="3" t="s">
        <v>56</v>
      </c>
      <c r="C67" s="3" t="s">
        <v>157</v>
      </c>
      <c r="D67" s="3">
        <v>9</v>
      </c>
      <c r="E67" s="3">
        <v>36</v>
      </c>
      <c r="F67" s="3">
        <v>1738</v>
      </c>
      <c r="G67" s="3">
        <v>27</v>
      </c>
      <c r="H67" s="5">
        <f t="shared" si="2"/>
        <v>48.277777777777779</v>
      </c>
    </row>
    <row r="68" spans="1:8" hidden="1" x14ac:dyDescent="0.3">
      <c r="A68" s="3">
        <v>2024</v>
      </c>
      <c r="B68" s="3" t="s">
        <v>126</v>
      </c>
      <c r="C68" s="3" t="s">
        <v>159</v>
      </c>
      <c r="D68" s="3">
        <v>3</v>
      </c>
      <c r="E68" s="3">
        <v>3</v>
      </c>
      <c r="F68" s="3">
        <v>139</v>
      </c>
      <c r="G68" s="3">
        <v>99</v>
      </c>
      <c r="H68" s="5">
        <f t="shared" si="2"/>
        <v>46.333333333333336</v>
      </c>
    </row>
    <row r="69" spans="1:8" hidden="1" x14ac:dyDescent="0.3">
      <c r="A69" s="3">
        <v>2024</v>
      </c>
      <c r="B69" s="3" t="s">
        <v>88</v>
      </c>
      <c r="C69" s="3" t="s">
        <v>154</v>
      </c>
      <c r="D69" s="3">
        <v>3</v>
      </c>
      <c r="E69" s="3">
        <v>13</v>
      </c>
      <c r="F69" s="3">
        <v>577</v>
      </c>
      <c r="G69" s="3">
        <v>60</v>
      </c>
      <c r="H69" s="5">
        <f t="shared" si="2"/>
        <v>44.384615384615387</v>
      </c>
    </row>
    <row r="70" spans="1:8" hidden="1" x14ac:dyDescent="0.3">
      <c r="A70" s="3">
        <v>2024</v>
      </c>
      <c r="B70" s="3" t="s">
        <v>92</v>
      </c>
      <c r="C70" s="3" t="s">
        <v>165</v>
      </c>
      <c r="D70" s="3">
        <v>1</v>
      </c>
      <c r="E70" s="3">
        <v>13</v>
      </c>
      <c r="F70" s="3">
        <v>562</v>
      </c>
      <c r="G70" s="3">
        <v>64</v>
      </c>
      <c r="H70" s="5">
        <f t="shared" si="2"/>
        <v>43.230769230769234</v>
      </c>
    </row>
    <row r="71" spans="1:8" hidden="1" x14ac:dyDescent="0.3">
      <c r="A71" s="3">
        <v>2024</v>
      </c>
      <c r="B71" s="3" t="s">
        <v>84</v>
      </c>
      <c r="C71" s="3" t="s">
        <v>165</v>
      </c>
      <c r="D71" s="3">
        <v>1</v>
      </c>
      <c r="E71" s="3">
        <v>14</v>
      </c>
      <c r="F71" s="3">
        <v>604</v>
      </c>
      <c r="G71" s="3">
        <v>56</v>
      </c>
      <c r="H71" s="5">
        <f t="shared" si="2"/>
        <v>43.142857142857146</v>
      </c>
    </row>
    <row r="72" spans="1:8" x14ac:dyDescent="0.3">
      <c r="A72" s="3">
        <v>2024</v>
      </c>
      <c r="B72" s="3" t="s">
        <v>106</v>
      </c>
      <c r="C72" s="3" t="s">
        <v>169</v>
      </c>
      <c r="D72" s="3">
        <v>1</v>
      </c>
      <c r="E72" s="3">
        <v>7</v>
      </c>
      <c r="F72" s="3">
        <v>287</v>
      </c>
      <c r="G72" s="3">
        <v>78</v>
      </c>
      <c r="H72" s="5">
        <f t="shared" si="2"/>
        <v>41</v>
      </c>
    </row>
    <row r="73" spans="1:8" hidden="1" x14ac:dyDescent="0.3">
      <c r="A73" s="3">
        <v>2024</v>
      </c>
      <c r="B73" s="3" t="s">
        <v>59</v>
      </c>
      <c r="C73" s="3" t="s">
        <v>147</v>
      </c>
      <c r="D73" s="3">
        <v>8</v>
      </c>
      <c r="E73" s="3">
        <v>35</v>
      </c>
      <c r="F73" s="3">
        <v>1406</v>
      </c>
      <c r="G73" s="3">
        <v>30</v>
      </c>
      <c r="H73" s="5">
        <f t="shared" si="2"/>
        <v>40.171428571428571</v>
      </c>
    </row>
    <row r="74" spans="1:8" hidden="1" x14ac:dyDescent="0.3">
      <c r="A74" s="3">
        <v>2024</v>
      </c>
      <c r="B74" s="3" t="s">
        <v>86</v>
      </c>
      <c r="C74" s="3" t="s">
        <v>160</v>
      </c>
      <c r="D74" s="3">
        <v>8</v>
      </c>
      <c r="E74" s="3">
        <v>15</v>
      </c>
      <c r="F74" s="3">
        <v>587</v>
      </c>
      <c r="G74" s="3">
        <v>58</v>
      </c>
      <c r="H74" s="5">
        <f t="shared" si="2"/>
        <v>39.133333333333333</v>
      </c>
    </row>
    <row r="75" spans="1:8" hidden="1" x14ac:dyDescent="0.3">
      <c r="A75" s="3">
        <v>2024</v>
      </c>
      <c r="B75" s="3" t="s">
        <v>130</v>
      </c>
      <c r="C75" s="3" t="s">
        <v>147</v>
      </c>
      <c r="D75" s="3">
        <v>8</v>
      </c>
      <c r="E75" s="3">
        <v>3</v>
      </c>
      <c r="F75" s="3">
        <v>115</v>
      </c>
      <c r="G75" s="3">
        <v>104</v>
      </c>
      <c r="H75" s="5">
        <f t="shared" si="2"/>
        <v>38.333333333333336</v>
      </c>
    </row>
    <row r="76" spans="1:8" hidden="1" x14ac:dyDescent="0.3">
      <c r="A76" s="3">
        <v>2024</v>
      </c>
      <c r="B76" s="3" t="s">
        <v>83</v>
      </c>
      <c r="C76" s="3" t="s">
        <v>143</v>
      </c>
      <c r="D76" s="3">
        <v>9</v>
      </c>
      <c r="E76" s="3">
        <v>18</v>
      </c>
      <c r="F76" s="3">
        <v>674</v>
      </c>
      <c r="G76" s="3">
        <v>55</v>
      </c>
      <c r="H76" s="5">
        <f t="shared" si="2"/>
        <v>37.444444444444443</v>
      </c>
    </row>
    <row r="77" spans="1:8" hidden="1" x14ac:dyDescent="0.3">
      <c r="A77" s="3">
        <v>2024</v>
      </c>
      <c r="B77" s="3" t="s">
        <v>110</v>
      </c>
      <c r="C77" s="3" t="s">
        <v>147</v>
      </c>
      <c r="D77" s="3">
        <v>8</v>
      </c>
      <c r="E77" s="3">
        <v>7</v>
      </c>
      <c r="F77" s="3">
        <v>254</v>
      </c>
      <c r="G77" s="3">
        <v>82</v>
      </c>
      <c r="H77" s="5">
        <f t="shared" si="2"/>
        <v>36.285714285714285</v>
      </c>
    </row>
    <row r="78" spans="1:8" hidden="1" x14ac:dyDescent="0.3">
      <c r="A78" s="3">
        <v>2024</v>
      </c>
      <c r="B78" s="3" t="s">
        <v>87</v>
      </c>
      <c r="C78" s="3" t="s">
        <v>146</v>
      </c>
      <c r="D78" s="3">
        <v>8</v>
      </c>
      <c r="E78" s="3">
        <v>16</v>
      </c>
      <c r="F78" s="3">
        <v>579</v>
      </c>
      <c r="G78" s="3">
        <v>59</v>
      </c>
      <c r="H78" s="5">
        <f t="shared" si="2"/>
        <v>36.1875</v>
      </c>
    </row>
    <row r="79" spans="1:8" x14ac:dyDescent="0.3">
      <c r="A79" s="3">
        <v>2024</v>
      </c>
      <c r="B79" s="3" t="s">
        <v>107</v>
      </c>
      <c r="C79" s="3" t="s">
        <v>161</v>
      </c>
      <c r="D79" s="3">
        <v>1</v>
      </c>
      <c r="E79" s="3">
        <v>14</v>
      </c>
      <c r="F79" s="3">
        <v>272</v>
      </c>
      <c r="G79" s="3">
        <v>79</v>
      </c>
      <c r="H79" s="5">
        <f t="shared" si="2"/>
        <v>19.428571428571427</v>
      </c>
    </row>
    <row r="80" spans="1:8" hidden="1" x14ac:dyDescent="0.3">
      <c r="A80" s="3">
        <v>2024</v>
      </c>
      <c r="B80" s="3" t="s">
        <v>115</v>
      </c>
      <c r="C80" s="3" t="s">
        <v>18</v>
      </c>
      <c r="D80" s="3">
        <v>4</v>
      </c>
      <c r="E80" s="3">
        <v>6</v>
      </c>
      <c r="F80" s="3">
        <v>215</v>
      </c>
      <c r="G80" s="3">
        <v>87</v>
      </c>
      <c r="H80" s="5">
        <f t="shared" si="2"/>
        <v>35.833333333333336</v>
      </c>
    </row>
    <row r="81" spans="1:8" hidden="1" x14ac:dyDescent="0.3">
      <c r="A81" s="3">
        <v>2024</v>
      </c>
      <c r="B81" s="3" t="s">
        <v>105</v>
      </c>
      <c r="C81" s="3" t="s">
        <v>146</v>
      </c>
      <c r="D81" s="3">
        <v>8</v>
      </c>
      <c r="E81" s="3">
        <v>9</v>
      </c>
      <c r="F81" s="3">
        <v>301</v>
      </c>
      <c r="G81" s="3">
        <v>77</v>
      </c>
      <c r="H81" s="5">
        <f t="shared" si="2"/>
        <v>33.444444444444443</v>
      </c>
    </row>
    <row r="82" spans="1:8" hidden="1" x14ac:dyDescent="0.3">
      <c r="A82" s="3">
        <v>2024</v>
      </c>
      <c r="B82" s="3" t="s">
        <v>90</v>
      </c>
      <c r="C82" s="3" t="s">
        <v>154</v>
      </c>
      <c r="D82" s="3">
        <v>3</v>
      </c>
      <c r="E82" s="3">
        <v>17</v>
      </c>
      <c r="F82" s="3">
        <v>567</v>
      </c>
      <c r="G82" s="3">
        <v>62</v>
      </c>
      <c r="H82" s="5">
        <f t="shared" si="2"/>
        <v>33.352941176470587</v>
      </c>
    </row>
    <row r="83" spans="1:8" hidden="1" x14ac:dyDescent="0.3">
      <c r="A83" s="3">
        <v>2024</v>
      </c>
      <c r="B83" s="3" t="s">
        <v>96</v>
      </c>
      <c r="C83" s="3" t="s">
        <v>144</v>
      </c>
      <c r="D83" s="3">
        <v>7</v>
      </c>
      <c r="E83" s="3">
        <v>14</v>
      </c>
      <c r="F83" s="3">
        <v>448</v>
      </c>
      <c r="G83" s="3">
        <v>68</v>
      </c>
      <c r="H83" s="5">
        <f t="shared" si="2"/>
        <v>32</v>
      </c>
    </row>
    <row r="84" spans="1:8" hidden="1" x14ac:dyDescent="0.3">
      <c r="A84" s="3">
        <v>2024</v>
      </c>
      <c r="B84" s="3" t="s">
        <v>136</v>
      </c>
      <c r="C84" s="3" t="s">
        <v>172</v>
      </c>
      <c r="D84" s="3">
        <v>3</v>
      </c>
      <c r="E84" s="3">
        <v>2</v>
      </c>
      <c r="F84" s="3">
        <v>64</v>
      </c>
      <c r="G84" s="3">
        <v>110</v>
      </c>
      <c r="H84" s="5">
        <f t="shared" si="2"/>
        <v>32</v>
      </c>
    </row>
    <row r="85" spans="1:8" hidden="1" x14ac:dyDescent="0.3">
      <c r="A85" s="3">
        <v>2024</v>
      </c>
      <c r="B85" s="3" t="s">
        <v>108</v>
      </c>
      <c r="C85" s="3" t="s">
        <v>159</v>
      </c>
      <c r="D85" s="3">
        <v>3</v>
      </c>
      <c r="E85" s="3">
        <v>10</v>
      </c>
      <c r="F85" s="3">
        <v>271</v>
      </c>
      <c r="G85" s="3">
        <v>80</v>
      </c>
      <c r="H85" s="5">
        <f t="shared" si="2"/>
        <v>27.1</v>
      </c>
    </row>
    <row r="86" spans="1:8" hidden="1" x14ac:dyDescent="0.3">
      <c r="A86" s="3">
        <v>2024</v>
      </c>
      <c r="B86" s="3" t="s">
        <v>121</v>
      </c>
      <c r="C86" s="3" t="s">
        <v>165</v>
      </c>
      <c r="D86" s="3">
        <v>1</v>
      </c>
      <c r="E86" s="3">
        <v>6</v>
      </c>
      <c r="F86" s="3">
        <v>159</v>
      </c>
      <c r="G86" s="3">
        <v>94</v>
      </c>
      <c r="H86" s="5">
        <f t="shared" si="2"/>
        <v>26.5</v>
      </c>
    </row>
    <row r="87" spans="1:8" x14ac:dyDescent="0.3">
      <c r="A87" s="3">
        <v>2024</v>
      </c>
      <c r="B87" s="3" t="s">
        <v>112</v>
      </c>
      <c r="C87" s="3" t="s">
        <v>158</v>
      </c>
      <c r="D87" s="3">
        <v>2</v>
      </c>
      <c r="E87" s="3">
        <v>16</v>
      </c>
      <c r="F87" s="3">
        <v>248</v>
      </c>
      <c r="G87" s="3">
        <v>84</v>
      </c>
      <c r="H87" s="5">
        <f t="shared" si="2"/>
        <v>15.5</v>
      </c>
    </row>
    <row r="88" spans="1:8" hidden="1" x14ac:dyDescent="0.3">
      <c r="A88" s="3">
        <v>2024</v>
      </c>
      <c r="B88" s="3" t="s">
        <v>111</v>
      </c>
      <c r="C88" s="3" t="s">
        <v>159</v>
      </c>
      <c r="D88" s="3">
        <v>3</v>
      </c>
      <c r="E88" s="3">
        <v>10</v>
      </c>
      <c r="F88" s="3">
        <v>250</v>
      </c>
      <c r="G88" s="3">
        <v>83</v>
      </c>
      <c r="H88" s="5">
        <f t="shared" si="2"/>
        <v>25</v>
      </c>
    </row>
    <row r="89" spans="1:8" hidden="1" x14ac:dyDescent="0.3">
      <c r="A89" s="3">
        <v>2024</v>
      </c>
      <c r="B89" s="3" t="s">
        <v>122</v>
      </c>
      <c r="C89" s="3" t="s">
        <v>149</v>
      </c>
      <c r="D89" s="3">
        <v>5</v>
      </c>
      <c r="E89" s="3">
        <v>6</v>
      </c>
      <c r="F89" s="3">
        <v>148</v>
      </c>
      <c r="G89" s="3">
        <v>95</v>
      </c>
      <c r="H89" s="5">
        <f t="shared" si="2"/>
        <v>24.666666666666668</v>
      </c>
    </row>
    <row r="90" spans="1:8" x14ac:dyDescent="0.3">
      <c r="A90" s="3">
        <v>2024</v>
      </c>
      <c r="B90" s="3" t="s">
        <v>117</v>
      </c>
      <c r="C90" s="3" t="s">
        <v>161</v>
      </c>
      <c r="D90" s="3">
        <v>1</v>
      </c>
      <c r="E90" s="3">
        <v>16</v>
      </c>
      <c r="F90" s="3">
        <v>206</v>
      </c>
      <c r="G90" s="3">
        <v>89</v>
      </c>
      <c r="H90" s="5">
        <f t="shared" si="2"/>
        <v>12.875</v>
      </c>
    </row>
    <row r="91" spans="1:8" hidden="1" x14ac:dyDescent="0.3">
      <c r="A91" s="3">
        <v>2024</v>
      </c>
      <c r="B91" s="3" t="s">
        <v>133</v>
      </c>
      <c r="C91" s="3" t="s">
        <v>151</v>
      </c>
      <c r="D91" s="3">
        <v>8</v>
      </c>
      <c r="E91" s="3">
        <v>3</v>
      </c>
      <c r="F91" s="3">
        <v>72</v>
      </c>
      <c r="G91" s="3">
        <v>107</v>
      </c>
      <c r="H91" s="5">
        <f t="shared" si="2"/>
        <v>24</v>
      </c>
    </row>
    <row r="92" spans="1:8" hidden="1" x14ac:dyDescent="0.3">
      <c r="A92" s="3">
        <v>2024</v>
      </c>
      <c r="B92" s="3" t="s">
        <v>113</v>
      </c>
      <c r="C92" s="3" t="s">
        <v>18</v>
      </c>
      <c r="D92" s="3">
        <v>4</v>
      </c>
      <c r="E92" s="3">
        <v>10</v>
      </c>
      <c r="F92" s="3">
        <v>239</v>
      </c>
      <c r="G92" s="3">
        <v>85</v>
      </c>
      <c r="H92" s="5">
        <f t="shared" si="2"/>
        <v>23.9</v>
      </c>
    </row>
    <row r="93" spans="1:8" hidden="1" x14ac:dyDescent="0.3">
      <c r="A93" s="3">
        <v>2024</v>
      </c>
      <c r="B93" s="3" t="s">
        <v>102</v>
      </c>
      <c r="C93" s="3" t="s">
        <v>167</v>
      </c>
      <c r="D93" s="3">
        <v>9</v>
      </c>
      <c r="E93" s="3">
        <v>15</v>
      </c>
      <c r="F93" s="3">
        <v>354</v>
      </c>
      <c r="G93" s="3">
        <v>74</v>
      </c>
      <c r="H93" s="5">
        <f t="shared" si="2"/>
        <v>23.6</v>
      </c>
    </row>
    <row r="94" spans="1:8" hidden="1" x14ac:dyDescent="0.3">
      <c r="A94" s="3">
        <v>2024</v>
      </c>
      <c r="B94" s="3" t="s">
        <v>85</v>
      </c>
      <c r="C94" s="3" t="s">
        <v>147</v>
      </c>
      <c r="D94" s="3">
        <v>8</v>
      </c>
      <c r="E94" s="3">
        <v>26</v>
      </c>
      <c r="F94" s="3">
        <v>601</v>
      </c>
      <c r="G94" s="3">
        <v>57</v>
      </c>
      <c r="H94" s="5">
        <f t="shared" si="2"/>
        <v>23.115384615384617</v>
      </c>
    </row>
    <row r="95" spans="1:8" hidden="1" x14ac:dyDescent="0.3">
      <c r="A95" s="3">
        <v>2024</v>
      </c>
      <c r="B95" s="3" t="s">
        <v>116</v>
      </c>
      <c r="C95" s="3" t="s">
        <v>150</v>
      </c>
      <c r="D95" s="3">
        <v>4</v>
      </c>
      <c r="E95" s="3">
        <v>9</v>
      </c>
      <c r="F95" s="3">
        <v>207</v>
      </c>
      <c r="G95" s="3">
        <v>88</v>
      </c>
      <c r="H95" s="5">
        <f t="shared" si="2"/>
        <v>23</v>
      </c>
    </row>
    <row r="96" spans="1:8" hidden="1" x14ac:dyDescent="0.3">
      <c r="A96" s="3">
        <v>2024</v>
      </c>
      <c r="B96" s="3" t="s">
        <v>129</v>
      </c>
      <c r="C96" s="3" t="s">
        <v>146</v>
      </c>
      <c r="D96" s="3">
        <v>8</v>
      </c>
      <c r="E96" s="3">
        <v>6</v>
      </c>
      <c r="F96" s="3">
        <v>124</v>
      </c>
      <c r="G96" s="3">
        <v>102</v>
      </c>
      <c r="H96" s="5">
        <f t="shared" si="2"/>
        <v>20.666666666666668</v>
      </c>
    </row>
    <row r="97" spans="1:8" hidden="1" x14ac:dyDescent="0.3">
      <c r="A97" s="3">
        <v>2024</v>
      </c>
      <c r="B97" s="3" t="s">
        <v>114</v>
      </c>
      <c r="C97" s="3" t="s">
        <v>159</v>
      </c>
      <c r="D97" s="3">
        <v>3</v>
      </c>
      <c r="E97" s="3">
        <v>11</v>
      </c>
      <c r="F97" s="3">
        <v>220</v>
      </c>
      <c r="G97" s="3">
        <v>86</v>
      </c>
      <c r="H97" s="5">
        <f t="shared" si="2"/>
        <v>20</v>
      </c>
    </row>
    <row r="98" spans="1:8" x14ac:dyDescent="0.3">
      <c r="A98" s="3">
        <v>2024</v>
      </c>
      <c r="B98" s="3" t="s">
        <v>41</v>
      </c>
      <c r="C98" s="3" t="s">
        <v>152</v>
      </c>
      <c r="D98" s="3">
        <v>2</v>
      </c>
      <c r="E98" s="3">
        <v>4</v>
      </c>
      <c r="F98" s="3">
        <v>206</v>
      </c>
      <c r="G98" s="3">
        <v>90</v>
      </c>
      <c r="H98" s="5">
        <f t="shared" ref="H98:H117" si="3">F98/E98</f>
        <v>51.5</v>
      </c>
    </row>
    <row r="99" spans="1:8" hidden="1" x14ac:dyDescent="0.3">
      <c r="A99" s="3">
        <v>2024</v>
      </c>
      <c r="B99" s="3" t="s">
        <v>132</v>
      </c>
      <c r="C99" s="3" t="s">
        <v>166</v>
      </c>
      <c r="D99" s="3">
        <v>6</v>
      </c>
      <c r="E99" s="3">
        <v>4</v>
      </c>
      <c r="F99" s="3">
        <v>76</v>
      </c>
      <c r="G99" s="3">
        <v>106</v>
      </c>
      <c r="H99" s="5">
        <f t="shared" si="3"/>
        <v>19</v>
      </c>
    </row>
    <row r="100" spans="1:8" hidden="1" x14ac:dyDescent="0.3">
      <c r="A100" s="3">
        <v>2024</v>
      </c>
      <c r="B100" s="3" t="s">
        <v>174</v>
      </c>
      <c r="C100" s="3" t="s">
        <v>159</v>
      </c>
      <c r="D100" s="3">
        <v>3</v>
      </c>
      <c r="E100" s="3">
        <v>7</v>
      </c>
      <c r="F100" s="3">
        <v>124</v>
      </c>
      <c r="G100" s="3">
        <v>103</v>
      </c>
      <c r="H100" s="5">
        <f t="shared" si="3"/>
        <v>17.714285714285715</v>
      </c>
    </row>
    <row r="101" spans="1:8" hidden="1" x14ac:dyDescent="0.3">
      <c r="A101" s="3">
        <v>2024</v>
      </c>
      <c r="B101" s="3" t="s">
        <v>138</v>
      </c>
      <c r="C101" s="3" t="s">
        <v>159</v>
      </c>
      <c r="D101" s="3">
        <v>3</v>
      </c>
      <c r="E101" s="3">
        <v>3</v>
      </c>
      <c r="F101" s="3">
        <v>52</v>
      </c>
      <c r="G101" s="3">
        <v>112</v>
      </c>
      <c r="H101" s="5">
        <f t="shared" si="3"/>
        <v>17.333333333333332</v>
      </c>
    </row>
    <row r="102" spans="1:8" x14ac:dyDescent="0.3">
      <c r="A102" s="3">
        <v>2024</v>
      </c>
      <c r="B102" s="3" t="s">
        <v>118</v>
      </c>
      <c r="C102" s="3" t="s">
        <v>152</v>
      </c>
      <c r="D102" s="3">
        <v>2</v>
      </c>
      <c r="E102" s="3">
        <v>3</v>
      </c>
      <c r="F102" s="3">
        <v>200</v>
      </c>
      <c r="G102" s="3">
        <v>91</v>
      </c>
      <c r="H102" s="5">
        <f t="shared" si="3"/>
        <v>66.666666666666671</v>
      </c>
    </row>
    <row r="103" spans="1:8" hidden="1" x14ac:dyDescent="0.3">
      <c r="A103" s="3">
        <v>2024</v>
      </c>
      <c r="B103" s="3" t="s">
        <v>119</v>
      </c>
      <c r="C103" s="3" t="s">
        <v>154</v>
      </c>
      <c r="D103" s="3">
        <v>3</v>
      </c>
      <c r="E103" s="3">
        <v>11</v>
      </c>
      <c r="F103" s="3">
        <v>177</v>
      </c>
      <c r="G103" s="3">
        <v>92</v>
      </c>
      <c r="H103" s="5">
        <f t="shared" si="3"/>
        <v>16.09090909090909</v>
      </c>
    </row>
    <row r="104" spans="1:8" hidden="1" x14ac:dyDescent="0.3">
      <c r="A104" s="3">
        <v>2024</v>
      </c>
      <c r="B104" s="3" t="s">
        <v>142</v>
      </c>
      <c r="C104" s="3" t="s">
        <v>154</v>
      </c>
      <c r="D104" s="3">
        <v>3</v>
      </c>
      <c r="E104" s="3">
        <v>1</v>
      </c>
      <c r="F104" s="3">
        <v>16</v>
      </c>
      <c r="G104" s="3">
        <v>116</v>
      </c>
      <c r="H104" s="5">
        <f t="shared" si="3"/>
        <v>16</v>
      </c>
    </row>
    <row r="105" spans="1:8" x14ac:dyDescent="0.3">
      <c r="A105" s="3">
        <v>2024</v>
      </c>
      <c r="B105" s="3" t="s">
        <v>120</v>
      </c>
      <c r="C105" s="3" t="s">
        <v>152</v>
      </c>
      <c r="D105" s="3">
        <v>2</v>
      </c>
      <c r="E105" s="3">
        <v>11</v>
      </c>
      <c r="F105" s="3">
        <v>165</v>
      </c>
      <c r="G105" s="3">
        <v>93</v>
      </c>
      <c r="H105" s="5">
        <f t="shared" si="3"/>
        <v>15</v>
      </c>
    </row>
    <row r="106" spans="1:8" x14ac:dyDescent="0.3">
      <c r="A106" s="3">
        <v>2024</v>
      </c>
      <c r="B106" s="3" t="s">
        <v>125</v>
      </c>
      <c r="C106" s="3" t="s">
        <v>163</v>
      </c>
      <c r="D106" s="3">
        <v>1</v>
      </c>
      <c r="E106" s="3">
        <v>2</v>
      </c>
      <c r="F106" s="3">
        <v>140</v>
      </c>
      <c r="G106" s="3">
        <v>98</v>
      </c>
      <c r="H106" s="5">
        <f t="shared" si="3"/>
        <v>70</v>
      </c>
    </row>
    <row r="107" spans="1:8" hidden="1" x14ac:dyDescent="0.3">
      <c r="A107" s="3">
        <v>2024</v>
      </c>
      <c r="B107" s="3" t="s">
        <v>131</v>
      </c>
      <c r="C107" s="3" t="s">
        <v>157</v>
      </c>
      <c r="D107" s="3">
        <v>9</v>
      </c>
      <c r="E107" s="3">
        <v>6</v>
      </c>
      <c r="F107" s="3">
        <v>88</v>
      </c>
      <c r="G107" s="3">
        <v>105</v>
      </c>
      <c r="H107" s="5">
        <f t="shared" si="3"/>
        <v>14.666666666666666</v>
      </c>
    </row>
    <row r="108" spans="1:8" hidden="1" x14ac:dyDescent="0.3">
      <c r="A108" s="3">
        <v>2024</v>
      </c>
      <c r="B108" s="3" t="s">
        <v>104</v>
      </c>
      <c r="C108" s="3" t="s">
        <v>147</v>
      </c>
      <c r="D108" s="3">
        <v>8</v>
      </c>
      <c r="E108" s="3">
        <v>23</v>
      </c>
      <c r="F108" s="3">
        <v>322</v>
      </c>
      <c r="G108" s="3">
        <v>76</v>
      </c>
      <c r="H108" s="5">
        <f t="shared" si="3"/>
        <v>14</v>
      </c>
    </row>
    <row r="109" spans="1:8" hidden="1" x14ac:dyDescent="0.3">
      <c r="A109" s="3">
        <v>2024</v>
      </c>
      <c r="B109" s="3" t="s">
        <v>127</v>
      </c>
      <c r="C109" s="3" t="s">
        <v>170</v>
      </c>
      <c r="D109" s="3">
        <v>7</v>
      </c>
      <c r="E109" s="3">
        <v>10</v>
      </c>
      <c r="F109" s="3">
        <v>138</v>
      </c>
      <c r="G109" s="3">
        <v>100</v>
      </c>
      <c r="H109" s="5">
        <f t="shared" si="3"/>
        <v>13.8</v>
      </c>
    </row>
    <row r="110" spans="1:8" x14ac:dyDescent="0.3">
      <c r="A110" s="3">
        <v>2024</v>
      </c>
      <c r="B110" s="3" t="s">
        <v>134</v>
      </c>
      <c r="C110" s="3" t="s">
        <v>158</v>
      </c>
      <c r="D110" s="3">
        <v>2</v>
      </c>
      <c r="E110" s="3">
        <v>6</v>
      </c>
      <c r="F110" s="3">
        <v>72</v>
      </c>
      <c r="G110" s="3">
        <v>108</v>
      </c>
      <c r="H110" s="5">
        <f t="shared" si="3"/>
        <v>12</v>
      </c>
    </row>
    <row r="111" spans="1:8" hidden="1" x14ac:dyDescent="0.3">
      <c r="A111" s="3">
        <v>2024</v>
      </c>
      <c r="B111" s="3" t="s">
        <v>139</v>
      </c>
      <c r="C111" s="3" t="s">
        <v>172</v>
      </c>
      <c r="D111" s="3">
        <v>3</v>
      </c>
      <c r="E111" s="3">
        <v>4</v>
      </c>
      <c r="F111" s="3">
        <v>51</v>
      </c>
      <c r="G111" s="3">
        <v>113</v>
      </c>
      <c r="H111" s="5">
        <f t="shared" si="3"/>
        <v>12.75</v>
      </c>
    </row>
    <row r="112" spans="1:8" x14ac:dyDescent="0.3">
      <c r="A112" s="3">
        <v>2024</v>
      </c>
      <c r="B112" s="3" t="s">
        <v>135</v>
      </c>
      <c r="C112" s="3" t="s">
        <v>171</v>
      </c>
      <c r="D112" s="3">
        <v>5</v>
      </c>
      <c r="E112" s="3">
        <v>4</v>
      </c>
      <c r="F112" s="3">
        <v>66</v>
      </c>
      <c r="G112" s="3">
        <v>109</v>
      </c>
      <c r="H112" s="5">
        <f t="shared" si="3"/>
        <v>16.5</v>
      </c>
    </row>
    <row r="113" spans="1:8" hidden="1" x14ac:dyDescent="0.3">
      <c r="A113" s="3">
        <v>2024</v>
      </c>
      <c r="B113" s="3" t="s">
        <v>137</v>
      </c>
      <c r="C113" s="3" t="s">
        <v>143</v>
      </c>
      <c r="D113" s="3">
        <v>9</v>
      </c>
      <c r="E113" s="3">
        <v>6</v>
      </c>
      <c r="F113" s="3">
        <v>62</v>
      </c>
      <c r="G113" s="3">
        <v>111</v>
      </c>
      <c r="H113" s="5">
        <f t="shared" si="3"/>
        <v>10.333333333333334</v>
      </c>
    </row>
    <row r="114" spans="1:8" hidden="1" x14ac:dyDescent="0.3">
      <c r="A114" s="3">
        <v>2024</v>
      </c>
      <c r="B114" s="3" t="s">
        <v>140</v>
      </c>
      <c r="C114" s="3" t="s">
        <v>143</v>
      </c>
      <c r="D114" s="3">
        <v>9</v>
      </c>
      <c r="E114" s="3">
        <v>4</v>
      </c>
      <c r="F114" s="3">
        <v>40</v>
      </c>
      <c r="G114" s="3">
        <v>114</v>
      </c>
      <c r="H114" s="5">
        <f t="shared" si="3"/>
        <v>10</v>
      </c>
    </row>
    <row r="115" spans="1:8" hidden="1" x14ac:dyDescent="0.3">
      <c r="A115" s="3">
        <v>2024</v>
      </c>
      <c r="B115" s="3" t="s">
        <v>109</v>
      </c>
      <c r="C115" s="3" t="s">
        <v>144</v>
      </c>
      <c r="D115" s="3">
        <v>7</v>
      </c>
      <c r="E115" s="3">
        <v>26</v>
      </c>
      <c r="F115" s="3">
        <v>255</v>
      </c>
      <c r="G115" s="3">
        <v>81</v>
      </c>
      <c r="H115" s="5">
        <f t="shared" si="3"/>
        <v>9.8076923076923084</v>
      </c>
    </row>
    <row r="116" spans="1:8" hidden="1" x14ac:dyDescent="0.3">
      <c r="A116" s="3">
        <v>2024</v>
      </c>
      <c r="B116" s="3" t="s">
        <v>124</v>
      </c>
      <c r="C116" s="3" t="s">
        <v>144</v>
      </c>
      <c r="D116" s="3">
        <v>7</v>
      </c>
      <c r="E116" s="3">
        <v>24</v>
      </c>
      <c r="F116" s="3">
        <v>144</v>
      </c>
      <c r="G116" s="3">
        <v>97</v>
      </c>
      <c r="H116" s="5">
        <f t="shared" si="3"/>
        <v>6</v>
      </c>
    </row>
    <row r="117" spans="1:8" hidden="1" x14ac:dyDescent="0.3">
      <c r="A117" s="3">
        <v>2024</v>
      </c>
      <c r="B117" s="3" t="s">
        <v>141</v>
      </c>
      <c r="C117" s="3" t="s">
        <v>173</v>
      </c>
      <c r="D117" s="3">
        <v>2</v>
      </c>
      <c r="E117" s="3">
        <v>4</v>
      </c>
      <c r="F117" s="3">
        <v>24</v>
      </c>
      <c r="G117" s="3">
        <v>115</v>
      </c>
      <c r="H117" s="5">
        <f t="shared" si="3"/>
        <v>6</v>
      </c>
    </row>
  </sheetData>
  <autoFilter ref="A1:H117" xr:uid="{AF811670-E94E-4572-AD0E-B9D696C49D7F}">
    <filterColumn colId="2">
      <filters>
        <filter val="CA"/>
        <filter val="CO"/>
        <filter val="KS"/>
        <filter val="MO"/>
        <filter val="OR"/>
        <filter val="SD"/>
        <filter val="UT"/>
        <filter val="WA"/>
        <filter val="WY"/>
      </filters>
    </filterColumn>
    <sortState xmlns:xlrd2="http://schemas.microsoft.com/office/spreadsheetml/2017/richdata2" ref="A17:H112">
      <sortCondition ref="G1:G117"/>
    </sortState>
  </autoFilter>
  <sortState xmlns:xlrd2="http://schemas.microsoft.com/office/spreadsheetml/2017/richdata2" ref="A2:H117">
    <sortCondition descending="1" ref="H2:H1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B77F-589F-45DA-B638-2A575F900E07}">
  <dimension ref="A1:K72"/>
  <sheetViews>
    <sheetView tabSelected="1" topLeftCell="B1" workbookViewId="0">
      <selection activeCell="H1" sqref="H1"/>
    </sheetView>
  </sheetViews>
  <sheetFormatPr defaultRowHeight="14.4" x14ac:dyDescent="0.3"/>
  <cols>
    <col min="1" max="1" width="8.88671875" style="3"/>
    <col min="2" max="2" width="40.33203125" customWidth="1"/>
    <col min="8" max="8" width="8.88671875" customWidth="1"/>
    <col min="10" max="10" width="25.6640625" customWidth="1"/>
    <col min="11" max="11" width="9.33203125" style="1" customWidth="1"/>
    <col min="12" max="25" width="5" bestFit="1" customWidth="1"/>
    <col min="26" max="26" width="10.77734375" bestFit="1" customWidth="1"/>
  </cols>
  <sheetData>
    <row r="1" spans="1:11" x14ac:dyDescent="0.3">
      <c r="A1" s="4" t="s">
        <v>1</v>
      </c>
      <c r="B1" s="2" t="s">
        <v>2</v>
      </c>
      <c r="C1" s="2" t="s">
        <v>7</v>
      </c>
      <c r="D1" s="6" t="s">
        <v>3</v>
      </c>
      <c r="E1" s="4" t="s">
        <v>4</v>
      </c>
      <c r="F1" s="4" t="s">
        <v>5</v>
      </c>
      <c r="G1" s="4" t="s">
        <v>0</v>
      </c>
      <c r="H1" s="6" t="s">
        <v>304</v>
      </c>
      <c r="J1" s="2" t="s">
        <v>302</v>
      </c>
      <c r="K1" s="7" t="s">
        <v>303</v>
      </c>
    </row>
    <row r="2" spans="1:11" x14ac:dyDescent="0.3">
      <c r="A2" s="3">
        <v>2025</v>
      </c>
      <c r="B2" t="s">
        <v>26</v>
      </c>
      <c r="C2" t="s">
        <v>156</v>
      </c>
      <c r="D2" s="3">
        <v>4</v>
      </c>
      <c r="E2" s="3">
        <v>30</v>
      </c>
      <c r="F2" s="3">
        <v>8220</v>
      </c>
      <c r="G2" s="3">
        <v>6</v>
      </c>
      <c r="H2" s="5">
        <v>274</v>
      </c>
      <c r="J2" t="s">
        <v>55</v>
      </c>
      <c r="K2" s="1">
        <v>606.4848484848485</v>
      </c>
    </row>
    <row r="3" spans="1:11" x14ac:dyDescent="0.3">
      <c r="A3" s="3">
        <v>2024</v>
      </c>
      <c r="B3" t="s">
        <v>26</v>
      </c>
      <c r="C3" t="s">
        <v>156</v>
      </c>
      <c r="D3" s="5">
        <v>2</v>
      </c>
      <c r="E3" s="3">
        <v>18</v>
      </c>
      <c r="F3" s="3">
        <v>3000</v>
      </c>
      <c r="G3" s="3">
        <v>14</v>
      </c>
      <c r="H3" s="5">
        <v>166.66666666666666</v>
      </c>
      <c r="J3" t="s">
        <v>46</v>
      </c>
      <c r="K3" s="1">
        <v>402.98701298701292</v>
      </c>
    </row>
    <row r="4" spans="1:11" x14ac:dyDescent="0.3">
      <c r="A4" s="3">
        <v>2026</v>
      </c>
      <c r="B4" s="3" t="s">
        <v>26</v>
      </c>
      <c r="C4" s="3" t="s">
        <v>156</v>
      </c>
      <c r="D4" s="3">
        <v>4</v>
      </c>
      <c r="E4" s="3">
        <v>11</v>
      </c>
      <c r="F4" s="3">
        <v>1824</v>
      </c>
      <c r="G4" s="3">
        <v>26</v>
      </c>
      <c r="H4" s="5">
        <v>165.81818181818181</v>
      </c>
      <c r="J4" t="s">
        <v>73</v>
      </c>
      <c r="K4" s="1">
        <v>318.92613636363603</v>
      </c>
    </row>
    <row r="5" spans="1:11" x14ac:dyDescent="0.3">
      <c r="A5" s="3">
        <v>2025</v>
      </c>
      <c r="B5" s="3" t="s">
        <v>181</v>
      </c>
      <c r="C5" s="3" t="s">
        <v>152</v>
      </c>
      <c r="D5" s="3">
        <v>2</v>
      </c>
      <c r="E5" s="3">
        <v>28</v>
      </c>
      <c r="F5" s="3">
        <v>4012</v>
      </c>
      <c r="G5" s="3">
        <v>17</v>
      </c>
      <c r="H5" s="5">
        <v>143.28571428571428</v>
      </c>
      <c r="J5" t="s">
        <v>191</v>
      </c>
      <c r="K5" s="1">
        <v>292.68099547511315</v>
      </c>
    </row>
    <row r="6" spans="1:11" x14ac:dyDescent="0.3">
      <c r="A6" s="3">
        <v>2025</v>
      </c>
      <c r="B6" s="3" t="s">
        <v>253</v>
      </c>
      <c r="C6" s="3" t="s">
        <v>152</v>
      </c>
      <c r="D6" s="3">
        <v>2</v>
      </c>
      <c r="E6" s="3">
        <v>4</v>
      </c>
      <c r="F6" s="3">
        <v>563</v>
      </c>
      <c r="G6" s="3">
        <v>63</v>
      </c>
      <c r="H6" s="5">
        <v>140.75</v>
      </c>
      <c r="J6" t="s">
        <v>188</v>
      </c>
      <c r="K6" s="1">
        <v>283.16828836797879</v>
      </c>
    </row>
    <row r="7" spans="1:11" x14ac:dyDescent="0.3">
      <c r="A7" s="3">
        <v>2025</v>
      </c>
      <c r="B7" t="s">
        <v>181</v>
      </c>
      <c r="C7" t="s">
        <v>152</v>
      </c>
      <c r="D7" s="3">
        <v>2</v>
      </c>
      <c r="E7" s="3">
        <v>28</v>
      </c>
      <c r="F7" s="3">
        <v>3918</v>
      </c>
      <c r="G7" s="3">
        <v>15</v>
      </c>
      <c r="H7" s="5">
        <v>139.92857142857142</v>
      </c>
      <c r="J7" t="s">
        <v>219</v>
      </c>
      <c r="K7" s="1">
        <v>265.97023809523813</v>
      </c>
    </row>
    <row r="8" spans="1:11" x14ac:dyDescent="0.3">
      <c r="A8" s="3">
        <v>2026</v>
      </c>
      <c r="B8" t="s">
        <v>191</v>
      </c>
      <c r="C8" t="s">
        <v>158</v>
      </c>
      <c r="D8" s="5">
        <v>1</v>
      </c>
      <c r="E8" s="3">
        <v>13</v>
      </c>
      <c r="F8" s="3">
        <v>1752</v>
      </c>
      <c r="G8" s="3">
        <v>25</v>
      </c>
      <c r="H8" s="5">
        <v>134.76923076923077</v>
      </c>
      <c r="J8" t="s">
        <v>195</v>
      </c>
      <c r="K8" s="1">
        <v>239</v>
      </c>
    </row>
    <row r="9" spans="1:11" x14ac:dyDescent="0.3">
      <c r="A9" s="3">
        <v>2024</v>
      </c>
      <c r="B9" t="s">
        <v>204</v>
      </c>
      <c r="C9" t="s">
        <v>156</v>
      </c>
      <c r="D9" s="3">
        <v>4</v>
      </c>
      <c r="E9" s="3">
        <v>9</v>
      </c>
      <c r="F9" s="3">
        <v>1205</v>
      </c>
      <c r="G9" s="3">
        <v>39</v>
      </c>
      <c r="H9" s="5">
        <v>133.88888888888889</v>
      </c>
      <c r="J9" t="s">
        <v>12</v>
      </c>
      <c r="K9" s="1">
        <v>233.33045814479638</v>
      </c>
    </row>
    <row r="10" spans="1:11" x14ac:dyDescent="0.3">
      <c r="A10" s="3">
        <v>2025</v>
      </c>
      <c r="B10" t="s">
        <v>196</v>
      </c>
      <c r="C10" t="s">
        <v>163</v>
      </c>
      <c r="D10" s="5">
        <v>1</v>
      </c>
      <c r="E10" s="3">
        <v>52</v>
      </c>
      <c r="F10" s="3">
        <v>6337</v>
      </c>
      <c r="G10" s="3">
        <v>6</v>
      </c>
      <c r="H10" s="5">
        <v>121.86538461538461</v>
      </c>
      <c r="J10" t="s">
        <v>204</v>
      </c>
      <c r="K10" s="1">
        <v>209</v>
      </c>
    </row>
    <row r="11" spans="1:11" x14ac:dyDescent="0.3">
      <c r="A11" s="3">
        <v>2025</v>
      </c>
      <c r="B11" t="s">
        <v>188</v>
      </c>
      <c r="C11" t="s">
        <v>155</v>
      </c>
      <c r="D11" s="3">
        <v>5</v>
      </c>
      <c r="E11" s="3">
        <v>17</v>
      </c>
      <c r="F11" s="3">
        <v>1984</v>
      </c>
      <c r="G11" s="3">
        <v>23</v>
      </c>
      <c r="H11" s="5">
        <v>116.70588235294117</v>
      </c>
      <c r="J11" t="s">
        <v>253</v>
      </c>
      <c r="K11" s="1">
        <v>182</v>
      </c>
    </row>
    <row r="12" spans="1:11" x14ac:dyDescent="0.3">
      <c r="A12" s="3">
        <v>2024</v>
      </c>
      <c r="B12" t="s">
        <v>206</v>
      </c>
      <c r="C12" t="s">
        <v>164</v>
      </c>
      <c r="D12" s="5">
        <v>3</v>
      </c>
      <c r="E12" s="3">
        <v>16</v>
      </c>
      <c r="F12" s="3">
        <v>1729</v>
      </c>
      <c r="G12" s="3">
        <v>26</v>
      </c>
      <c r="H12" s="5">
        <v>108.0625</v>
      </c>
      <c r="J12" t="s">
        <v>207</v>
      </c>
      <c r="K12" s="1">
        <v>179</v>
      </c>
    </row>
    <row r="13" spans="1:11" x14ac:dyDescent="0.3">
      <c r="A13" s="3">
        <v>2024</v>
      </c>
      <c r="B13" s="3" t="s">
        <v>206</v>
      </c>
      <c r="C13" s="3" t="s">
        <v>164</v>
      </c>
      <c r="D13" s="3">
        <v>3</v>
      </c>
      <c r="E13" s="3">
        <v>10</v>
      </c>
      <c r="F13" s="3">
        <v>1075</v>
      </c>
      <c r="G13" s="3">
        <v>45</v>
      </c>
      <c r="H13" s="5">
        <v>107.5</v>
      </c>
      <c r="J13" t="s">
        <v>287</v>
      </c>
      <c r="K13" s="1">
        <v>175</v>
      </c>
    </row>
    <row r="14" spans="1:11" x14ac:dyDescent="0.3">
      <c r="A14" s="3">
        <v>2024</v>
      </c>
      <c r="B14" t="s">
        <v>206</v>
      </c>
      <c r="C14" t="s">
        <v>164</v>
      </c>
      <c r="D14" s="3">
        <v>3</v>
      </c>
      <c r="E14" s="3">
        <v>11</v>
      </c>
      <c r="F14" s="3">
        <v>1137</v>
      </c>
      <c r="G14" s="3">
        <v>41</v>
      </c>
      <c r="H14" s="5">
        <v>103.363636363636</v>
      </c>
      <c r="J14" t="s">
        <v>106</v>
      </c>
      <c r="K14" s="1">
        <v>140</v>
      </c>
    </row>
    <row r="15" spans="1:11" x14ac:dyDescent="0.3">
      <c r="A15" s="3">
        <v>2025</v>
      </c>
      <c r="B15" s="3" t="s">
        <v>207</v>
      </c>
      <c r="C15" s="3" t="s">
        <v>152</v>
      </c>
      <c r="D15" s="3">
        <v>2</v>
      </c>
      <c r="E15" s="3">
        <v>15</v>
      </c>
      <c r="F15" s="3">
        <v>1532</v>
      </c>
      <c r="G15" s="3">
        <v>29</v>
      </c>
      <c r="H15" s="5">
        <v>102.13333333333334</v>
      </c>
      <c r="J15" t="s">
        <v>200</v>
      </c>
      <c r="K15" s="1">
        <v>108.91271551724138</v>
      </c>
    </row>
    <row r="16" spans="1:11" x14ac:dyDescent="0.3">
      <c r="A16" s="3">
        <v>2026</v>
      </c>
      <c r="B16" t="s">
        <v>195</v>
      </c>
      <c r="C16" t="s">
        <v>163</v>
      </c>
      <c r="D16" s="3">
        <v>1</v>
      </c>
      <c r="E16" s="3">
        <v>15</v>
      </c>
      <c r="F16" s="3">
        <v>1510</v>
      </c>
      <c r="G16" s="3">
        <v>30</v>
      </c>
      <c r="H16" s="5">
        <v>100.66666666666667</v>
      </c>
      <c r="J16" t="s">
        <v>215</v>
      </c>
      <c r="K16" s="1">
        <v>104.30797101449275</v>
      </c>
    </row>
    <row r="17" spans="1:11" x14ac:dyDescent="0.3">
      <c r="A17" s="3">
        <v>2024</v>
      </c>
      <c r="B17" t="s">
        <v>315</v>
      </c>
      <c r="C17" t="s">
        <v>169</v>
      </c>
      <c r="D17" s="3">
        <v>1</v>
      </c>
      <c r="E17" s="3">
        <v>1</v>
      </c>
      <c r="F17" s="3">
        <v>99</v>
      </c>
      <c r="G17" s="3">
        <v>102</v>
      </c>
      <c r="H17" s="5">
        <v>99</v>
      </c>
      <c r="J17" t="s">
        <v>220</v>
      </c>
      <c r="K17" s="1">
        <v>90</v>
      </c>
    </row>
    <row r="18" spans="1:11" x14ac:dyDescent="0.3">
      <c r="A18" s="3">
        <v>2026</v>
      </c>
      <c r="B18" t="s">
        <v>181</v>
      </c>
      <c r="C18" t="s">
        <v>152</v>
      </c>
      <c r="D18" s="5">
        <v>1</v>
      </c>
      <c r="E18" s="3">
        <v>22</v>
      </c>
      <c r="F18" s="3">
        <v>2173</v>
      </c>
      <c r="G18" s="3">
        <v>20</v>
      </c>
      <c r="H18" s="5">
        <v>98.772727272727266</v>
      </c>
      <c r="J18" t="s">
        <v>21</v>
      </c>
      <c r="K18" s="1">
        <v>87</v>
      </c>
    </row>
    <row r="19" spans="1:11" x14ac:dyDescent="0.3">
      <c r="A19" s="3">
        <v>2025</v>
      </c>
      <c r="B19" t="s">
        <v>239</v>
      </c>
      <c r="C19" t="s">
        <v>158</v>
      </c>
      <c r="D19" s="3">
        <v>2</v>
      </c>
      <c r="E19" s="3">
        <v>3</v>
      </c>
      <c r="F19" s="3">
        <v>294</v>
      </c>
      <c r="G19" s="3">
        <v>75</v>
      </c>
      <c r="H19" s="5">
        <v>98</v>
      </c>
      <c r="J19" t="s">
        <v>118</v>
      </c>
      <c r="K19" s="1">
        <v>67</v>
      </c>
    </row>
    <row r="20" spans="1:11" x14ac:dyDescent="0.3">
      <c r="A20" s="3">
        <v>2026</v>
      </c>
      <c r="B20" s="3" t="s">
        <v>309</v>
      </c>
      <c r="C20" s="3" t="s">
        <v>155</v>
      </c>
      <c r="D20" s="3">
        <v>5</v>
      </c>
      <c r="E20" s="3">
        <v>19</v>
      </c>
      <c r="F20" s="3">
        <v>1845</v>
      </c>
      <c r="G20" s="3">
        <v>25</v>
      </c>
      <c r="H20" s="5">
        <v>97.10526315789474</v>
      </c>
      <c r="J20" t="s">
        <v>100</v>
      </c>
      <c r="K20" s="1">
        <v>67</v>
      </c>
    </row>
    <row r="21" spans="1:11" x14ac:dyDescent="0.3">
      <c r="A21" s="3">
        <v>2024</v>
      </c>
      <c r="B21" t="s">
        <v>219</v>
      </c>
      <c r="C21" t="s">
        <v>152</v>
      </c>
      <c r="D21" s="5">
        <v>1</v>
      </c>
      <c r="E21" s="3">
        <v>12</v>
      </c>
      <c r="F21" s="3">
        <v>1124</v>
      </c>
      <c r="G21" s="3">
        <v>37</v>
      </c>
      <c r="H21" s="5">
        <v>93.666666666666671</v>
      </c>
      <c r="J21" t="s">
        <v>264</v>
      </c>
      <c r="K21" s="1">
        <v>65</v>
      </c>
    </row>
    <row r="22" spans="1:11" x14ac:dyDescent="0.3">
      <c r="A22" s="3">
        <v>2024</v>
      </c>
      <c r="B22" s="3" t="s">
        <v>219</v>
      </c>
      <c r="C22" s="3" t="s">
        <v>152</v>
      </c>
      <c r="D22" s="3">
        <v>2</v>
      </c>
      <c r="E22" s="3">
        <v>28</v>
      </c>
      <c r="F22" s="3">
        <v>2609</v>
      </c>
      <c r="G22" s="3">
        <v>20</v>
      </c>
      <c r="H22" s="5">
        <v>93.178571428571431</v>
      </c>
      <c r="J22" t="s">
        <v>107</v>
      </c>
      <c r="K22" s="1">
        <v>65</v>
      </c>
    </row>
    <row r="23" spans="1:11" x14ac:dyDescent="0.3">
      <c r="A23" s="3">
        <v>2025</v>
      </c>
      <c r="B23" t="s">
        <v>219</v>
      </c>
      <c r="C23" t="s">
        <v>152</v>
      </c>
      <c r="D23" s="3">
        <v>2</v>
      </c>
      <c r="E23" s="3">
        <v>8</v>
      </c>
      <c r="F23" s="3">
        <v>633</v>
      </c>
      <c r="G23" s="3">
        <v>54</v>
      </c>
      <c r="H23" s="5">
        <v>79.125</v>
      </c>
      <c r="J23" t="s">
        <v>65</v>
      </c>
      <c r="K23" s="1">
        <v>59</v>
      </c>
    </row>
    <row r="24" spans="1:11" x14ac:dyDescent="0.3">
      <c r="A24" s="3">
        <v>2026</v>
      </c>
      <c r="B24" t="s">
        <v>191</v>
      </c>
      <c r="C24" t="s">
        <v>158</v>
      </c>
      <c r="D24" s="3">
        <v>2</v>
      </c>
      <c r="E24" s="3">
        <v>24</v>
      </c>
      <c r="F24" s="3">
        <v>1884</v>
      </c>
      <c r="G24" s="3">
        <v>26</v>
      </c>
      <c r="H24" s="5">
        <v>78.5</v>
      </c>
      <c r="J24" t="s">
        <v>225</v>
      </c>
      <c r="K24" s="1">
        <v>58.089285714285715</v>
      </c>
    </row>
    <row r="25" spans="1:11" x14ac:dyDescent="0.3">
      <c r="A25" s="3">
        <v>2024</v>
      </c>
      <c r="B25" t="s">
        <v>207</v>
      </c>
      <c r="C25" t="s">
        <v>152</v>
      </c>
      <c r="D25" s="3">
        <v>2</v>
      </c>
      <c r="E25" s="3">
        <v>13</v>
      </c>
      <c r="F25" s="3">
        <v>1003</v>
      </c>
      <c r="G25" s="3">
        <v>42</v>
      </c>
      <c r="H25" s="5">
        <v>77.15384615384616</v>
      </c>
      <c r="J25" t="s">
        <v>296</v>
      </c>
      <c r="K25" s="1">
        <v>52</v>
      </c>
    </row>
    <row r="26" spans="1:11" x14ac:dyDescent="0.3">
      <c r="A26" s="3">
        <v>2025</v>
      </c>
      <c r="B26" t="s">
        <v>239</v>
      </c>
      <c r="C26" t="s">
        <v>158</v>
      </c>
      <c r="D26" s="5">
        <v>1</v>
      </c>
      <c r="E26" s="3">
        <v>7</v>
      </c>
      <c r="F26" s="3">
        <v>537</v>
      </c>
      <c r="G26" s="3">
        <v>55</v>
      </c>
      <c r="H26" s="5">
        <v>76.714285714285708</v>
      </c>
      <c r="J26" t="s">
        <v>41</v>
      </c>
      <c r="K26" s="1">
        <v>52</v>
      </c>
    </row>
    <row r="27" spans="1:11" x14ac:dyDescent="0.3">
      <c r="A27" s="3">
        <v>2024</v>
      </c>
      <c r="B27" s="3" t="s">
        <v>191</v>
      </c>
      <c r="C27" s="3" t="s">
        <v>158</v>
      </c>
      <c r="D27" s="3">
        <v>2</v>
      </c>
      <c r="E27" s="3">
        <v>17</v>
      </c>
      <c r="F27" s="3">
        <v>1299</v>
      </c>
      <c r="G27" s="3">
        <v>32</v>
      </c>
      <c r="H27" s="5">
        <v>76.411764705882348</v>
      </c>
      <c r="J27" t="s">
        <v>241</v>
      </c>
      <c r="K27" s="1">
        <v>50</v>
      </c>
    </row>
    <row r="28" spans="1:11" x14ac:dyDescent="0.3">
      <c r="A28" s="3">
        <v>2025</v>
      </c>
      <c r="B28" s="3" t="s">
        <v>204</v>
      </c>
      <c r="C28" s="3" t="s">
        <v>156</v>
      </c>
      <c r="D28" s="3">
        <v>4</v>
      </c>
      <c r="E28" s="3">
        <v>14</v>
      </c>
      <c r="F28" s="3">
        <v>1049</v>
      </c>
      <c r="G28" s="3">
        <v>47</v>
      </c>
      <c r="H28" s="5">
        <v>74.928571428571431</v>
      </c>
      <c r="J28" t="s">
        <v>258</v>
      </c>
      <c r="K28" s="1">
        <v>49</v>
      </c>
    </row>
    <row r="29" spans="1:11" x14ac:dyDescent="0.3">
      <c r="A29" s="3">
        <v>2026</v>
      </c>
      <c r="B29" s="3" t="s">
        <v>195</v>
      </c>
      <c r="C29" s="3" t="s">
        <v>163</v>
      </c>
      <c r="D29" s="3">
        <v>1</v>
      </c>
      <c r="E29" s="3">
        <v>2</v>
      </c>
      <c r="F29" s="3">
        <v>140</v>
      </c>
      <c r="G29" s="3">
        <v>98</v>
      </c>
      <c r="H29" s="5">
        <v>70</v>
      </c>
      <c r="J29" t="s">
        <v>234</v>
      </c>
      <c r="K29" s="1">
        <v>43</v>
      </c>
    </row>
    <row r="30" spans="1:11" x14ac:dyDescent="0.3">
      <c r="A30" s="3">
        <v>2024</v>
      </c>
      <c r="B30" t="s">
        <v>188</v>
      </c>
      <c r="C30" t="s">
        <v>155</v>
      </c>
      <c r="D30" s="5">
        <v>4</v>
      </c>
      <c r="E30" s="3">
        <v>14</v>
      </c>
      <c r="F30" s="3">
        <v>971</v>
      </c>
      <c r="G30" s="3">
        <v>42</v>
      </c>
      <c r="H30" s="5">
        <v>69.357142857142861</v>
      </c>
      <c r="J30" t="s">
        <v>242</v>
      </c>
      <c r="K30" s="1">
        <v>40</v>
      </c>
    </row>
    <row r="31" spans="1:11" x14ac:dyDescent="0.3">
      <c r="A31" s="3">
        <v>2025</v>
      </c>
      <c r="B31" t="s">
        <v>195</v>
      </c>
      <c r="C31" t="s">
        <v>163</v>
      </c>
      <c r="D31" s="5">
        <v>1</v>
      </c>
      <c r="E31" s="3">
        <v>24</v>
      </c>
      <c r="F31" s="3">
        <v>1626</v>
      </c>
      <c r="G31" s="3">
        <v>28</v>
      </c>
      <c r="H31" s="5">
        <v>67.75</v>
      </c>
      <c r="J31" t="s">
        <v>299</v>
      </c>
      <c r="K31" s="1">
        <v>39</v>
      </c>
    </row>
    <row r="32" spans="1:11" x14ac:dyDescent="0.3">
      <c r="A32" s="3">
        <v>2024</v>
      </c>
      <c r="B32" s="3" t="s">
        <v>310</v>
      </c>
      <c r="C32" s="3" t="s">
        <v>152</v>
      </c>
      <c r="D32" s="3">
        <v>2</v>
      </c>
      <c r="E32" s="3">
        <v>3</v>
      </c>
      <c r="F32" s="3">
        <v>200</v>
      </c>
      <c r="G32" s="3">
        <v>91</v>
      </c>
      <c r="H32" s="5">
        <v>66.666666666666671</v>
      </c>
      <c r="J32" t="s">
        <v>135</v>
      </c>
      <c r="K32" s="1">
        <v>17</v>
      </c>
    </row>
    <row r="33" spans="1:11" x14ac:dyDescent="0.3">
      <c r="A33" s="3">
        <v>2025</v>
      </c>
      <c r="B33" s="3" t="s">
        <v>196</v>
      </c>
      <c r="C33" s="3" t="s">
        <v>163</v>
      </c>
      <c r="D33" s="3">
        <v>1</v>
      </c>
      <c r="E33" s="3">
        <v>17</v>
      </c>
      <c r="F33" s="3">
        <v>1123</v>
      </c>
      <c r="G33" s="3">
        <v>44</v>
      </c>
      <c r="H33" s="5">
        <v>66.058823529411768</v>
      </c>
      <c r="J33" t="s">
        <v>260</v>
      </c>
      <c r="K33" s="1">
        <v>14</v>
      </c>
    </row>
    <row r="34" spans="1:11" x14ac:dyDescent="0.3">
      <c r="A34" s="3">
        <v>2025</v>
      </c>
      <c r="B34" t="s">
        <v>305</v>
      </c>
      <c r="C34" t="s">
        <v>169</v>
      </c>
      <c r="D34" s="3">
        <v>1</v>
      </c>
      <c r="E34" s="3">
        <v>1</v>
      </c>
      <c r="F34" s="3">
        <v>65</v>
      </c>
      <c r="G34" s="3">
        <v>109</v>
      </c>
      <c r="H34" s="5">
        <v>65</v>
      </c>
      <c r="J34" t="s">
        <v>273</v>
      </c>
      <c r="K34" s="1">
        <v>6</v>
      </c>
    </row>
    <row r="35" spans="1:11" x14ac:dyDescent="0.3">
      <c r="A35" s="3">
        <v>2026</v>
      </c>
      <c r="B35" s="3" t="s">
        <v>224</v>
      </c>
      <c r="C35" s="3" t="s">
        <v>152</v>
      </c>
      <c r="D35" s="3">
        <v>2</v>
      </c>
      <c r="E35" s="3">
        <v>21</v>
      </c>
      <c r="F35" s="3">
        <v>1243</v>
      </c>
      <c r="G35" s="3">
        <v>36</v>
      </c>
      <c r="H35" s="5">
        <v>59.19047619047619</v>
      </c>
      <c r="J35" t="s">
        <v>274</v>
      </c>
      <c r="K35" s="1">
        <v>4</v>
      </c>
    </row>
    <row r="36" spans="1:11" x14ac:dyDescent="0.3">
      <c r="A36" s="3">
        <v>2025</v>
      </c>
      <c r="B36" t="s">
        <v>215</v>
      </c>
      <c r="C36" t="s">
        <v>158</v>
      </c>
      <c r="D36" s="5">
        <v>1</v>
      </c>
      <c r="E36" s="3">
        <v>12</v>
      </c>
      <c r="F36" s="3">
        <v>653</v>
      </c>
      <c r="G36" s="3">
        <v>48</v>
      </c>
      <c r="H36" s="5">
        <v>54.416666666666664</v>
      </c>
    </row>
    <row r="37" spans="1:11" x14ac:dyDescent="0.3">
      <c r="A37" s="3">
        <v>2024</v>
      </c>
      <c r="B37" t="s">
        <v>21</v>
      </c>
      <c r="C37" t="s">
        <v>171</v>
      </c>
      <c r="D37" s="3">
        <v>5</v>
      </c>
      <c r="E37" s="3">
        <v>3</v>
      </c>
      <c r="F37" s="3">
        <v>158</v>
      </c>
      <c r="G37" s="3">
        <v>94</v>
      </c>
      <c r="H37" s="5">
        <v>52.666666666666664</v>
      </c>
    </row>
    <row r="38" spans="1:11" x14ac:dyDescent="0.3">
      <c r="A38" s="3">
        <v>2025</v>
      </c>
      <c r="B38" s="3" t="s">
        <v>220</v>
      </c>
      <c r="C38" s="3" t="s">
        <v>161</v>
      </c>
      <c r="D38" s="3">
        <v>1</v>
      </c>
      <c r="E38" s="3">
        <v>23</v>
      </c>
      <c r="F38" s="3">
        <v>1195</v>
      </c>
      <c r="G38" s="3">
        <v>39</v>
      </c>
      <c r="H38" s="5">
        <v>51.956521739130437</v>
      </c>
    </row>
    <row r="39" spans="1:11" x14ac:dyDescent="0.3">
      <c r="A39" s="3">
        <v>2024</v>
      </c>
      <c r="B39" t="s">
        <v>308</v>
      </c>
      <c r="C39" t="s">
        <v>171</v>
      </c>
      <c r="D39" s="5">
        <v>3</v>
      </c>
      <c r="E39" s="3">
        <v>9</v>
      </c>
      <c r="F39" s="3">
        <v>467</v>
      </c>
      <c r="G39" s="3">
        <v>58</v>
      </c>
      <c r="H39" s="5">
        <v>51.888888888888886</v>
      </c>
    </row>
    <row r="40" spans="1:11" x14ac:dyDescent="0.3">
      <c r="A40" s="3">
        <v>2025</v>
      </c>
      <c r="B40" s="3" t="s">
        <v>311</v>
      </c>
      <c r="C40" s="3" t="s">
        <v>152</v>
      </c>
      <c r="D40" s="3">
        <v>2</v>
      </c>
      <c r="E40" s="3">
        <v>4</v>
      </c>
      <c r="F40" s="3">
        <v>206</v>
      </c>
      <c r="G40" s="3">
        <v>90</v>
      </c>
      <c r="H40" s="5">
        <v>51.5</v>
      </c>
    </row>
    <row r="41" spans="1:11" x14ac:dyDescent="0.3">
      <c r="A41" s="3">
        <v>2025</v>
      </c>
      <c r="B41" t="s">
        <v>258</v>
      </c>
      <c r="C41" t="s">
        <v>277</v>
      </c>
      <c r="D41" s="3">
        <v>1</v>
      </c>
      <c r="E41" s="3">
        <v>3</v>
      </c>
      <c r="F41" s="3">
        <v>146</v>
      </c>
      <c r="G41" s="3">
        <v>97</v>
      </c>
      <c r="H41" s="5">
        <v>48.666666666666664</v>
      </c>
    </row>
    <row r="42" spans="1:11" x14ac:dyDescent="0.3">
      <c r="A42" s="3">
        <v>2024</v>
      </c>
      <c r="B42" t="s">
        <v>222</v>
      </c>
      <c r="C42" t="s">
        <v>161</v>
      </c>
      <c r="D42" s="3">
        <v>1</v>
      </c>
      <c r="E42" s="3">
        <v>13</v>
      </c>
      <c r="F42" s="3">
        <v>597</v>
      </c>
      <c r="G42" s="3">
        <v>57</v>
      </c>
      <c r="H42" s="5">
        <v>45.92307692307692</v>
      </c>
    </row>
    <row r="43" spans="1:11" x14ac:dyDescent="0.3">
      <c r="A43" s="3">
        <v>2025</v>
      </c>
      <c r="B43" t="s">
        <v>196</v>
      </c>
      <c r="C43" t="s">
        <v>163</v>
      </c>
      <c r="D43" s="3">
        <v>1</v>
      </c>
      <c r="E43" s="3">
        <v>32</v>
      </c>
      <c r="F43" s="3">
        <v>1453</v>
      </c>
      <c r="G43" s="3">
        <v>31</v>
      </c>
      <c r="H43" s="5">
        <v>45.40625</v>
      </c>
    </row>
    <row r="44" spans="1:11" x14ac:dyDescent="0.3">
      <c r="A44" s="3">
        <v>2024</v>
      </c>
      <c r="B44" t="s">
        <v>234</v>
      </c>
      <c r="C44" t="s">
        <v>158</v>
      </c>
      <c r="D44" s="3">
        <v>2</v>
      </c>
      <c r="E44" s="3">
        <v>8</v>
      </c>
      <c r="F44" s="3">
        <v>345</v>
      </c>
      <c r="G44" s="3">
        <v>70</v>
      </c>
      <c r="H44" s="5">
        <v>43.125</v>
      </c>
    </row>
    <row r="45" spans="1:11" x14ac:dyDescent="0.3">
      <c r="A45" s="3">
        <v>2026</v>
      </c>
      <c r="B45" t="s">
        <v>200</v>
      </c>
      <c r="C45" t="s">
        <v>161</v>
      </c>
      <c r="D45" s="3">
        <v>1</v>
      </c>
      <c r="E45" s="3">
        <v>32</v>
      </c>
      <c r="F45" s="3">
        <v>1371</v>
      </c>
      <c r="G45" s="3">
        <v>35</v>
      </c>
      <c r="H45" s="5">
        <v>42.84375</v>
      </c>
    </row>
    <row r="46" spans="1:11" x14ac:dyDescent="0.3">
      <c r="A46" s="3">
        <v>2025</v>
      </c>
      <c r="B46" t="s">
        <v>252</v>
      </c>
      <c r="C46" t="s">
        <v>156</v>
      </c>
      <c r="D46" s="3">
        <v>4</v>
      </c>
      <c r="E46" s="3">
        <v>4</v>
      </c>
      <c r="F46" s="3">
        <v>168</v>
      </c>
      <c r="G46" s="3">
        <v>89</v>
      </c>
      <c r="H46" s="5">
        <v>42</v>
      </c>
    </row>
    <row r="47" spans="1:11" x14ac:dyDescent="0.3">
      <c r="A47" s="3">
        <v>2026</v>
      </c>
      <c r="B47" t="s">
        <v>253</v>
      </c>
      <c r="C47" t="s">
        <v>152</v>
      </c>
      <c r="D47" s="3">
        <v>2</v>
      </c>
      <c r="E47" s="3">
        <v>4</v>
      </c>
      <c r="F47" s="3">
        <v>165</v>
      </c>
      <c r="G47" s="3">
        <v>90</v>
      </c>
      <c r="H47" s="5">
        <v>41.25</v>
      </c>
    </row>
    <row r="48" spans="1:11" x14ac:dyDescent="0.3">
      <c r="A48" s="3">
        <v>2024</v>
      </c>
      <c r="B48" s="3" t="s">
        <v>315</v>
      </c>
      <c r="C48" s="3" t="s">
        <v>169</v>
      </c>
      <c r="D48" s="3">
        <v>1</v>
      </c>
      <c r="E48" s="3">
        <v>7</v>
      </c>
      <c r="F48" s="3">
        <v>287</v>
      </c>
      <c r="G48" s="3">
        <v>78</v>
      </c>
      <c r="H48" s="5">
        <v>41</v>
      </c>
    </row>
    <row r="49" spans="1:8" x14ac:dyDescent="0.3">
      <c r="A49" s="3">
        <v>2025</v>
      </c>
      <c r="B49" t="s">
        <v>242</v>
      </c>
      <c r="C49" t="s">
        <v>161</v>
      </c>
      <c r="D49" s="3">
        <v>1</v>
      </c>
      <c r="E49" s="3">
        <v>6</v>
      </c>
      <c r="F49" s="3">
        <v>241</v>
      </c>
      <c r="G49" s="3">
        <v>78</v>
      </c>
      <c r="H49" s="5">
        <v>40.166666666666664</v>
      </c>
    </row>
    <row r="50" spans="1:8" x14ac:dyDescent="0.3">
      <c r="A50" s="3">
        <v>2024</v>
      </c>
      <c r="B50" t="s">
        <v>220</v>
      </c>
      <c r="C50" t="s">
        <v>161</v>
      </c>
      <c r="D50" s="3">
        <v>1</v>
      </c>
      <c r="E50" s="3">
        <v>16</v>
      </c>
      <c r="F50" s="3">
        <v>610</v>
      </c>
      <c r="G50" s="3">
        <v>55</v>
      </c>
      <c r="H50" s="5">
        <v>38.125</v>
      </c>
    </row>
    <row r="51" spans="1:8" x14ac:dyDescent="0.3">
      <c r="A51" s="3">
        <v>2025</v>
      </c>
      <c r="B51" s="3" t="s">
        <v>200</v>
      </c>
      <c r="C51" s="3" t="s">
        <v>161</v>
      </c>
      <c r="D51" s="3">
        <v>1</v>
      </c>
      <c r="E51" s="3">
        <v>16</v>
      </c>
      <c r="F51" s="3">
        <v>576</v>
      </c>
      <c r="G51" s="3">
        <v>61</v>
      </c>
      <c r="H51" s="5">
        <v>36</v>
      </c>
    </row>
    <row r="52" spans="1:8" x14ac:dyDescent="0.3">
      <c r="A52" s="3">
        <v>2024</v>
      </c>
      <c r="B52" t="s">
        <v>316</v>
      </c>
      <c r="C52" t="s">
        <v>171</v>
      </c>
      <c r="D52" s="3">
        <v>5</v>
      </c>
      <c r="E52" s="3">
        <v>2</v>
      </c>
      <c r="F52" s="3">
        <v>68</v>
      </c>
      <c r="G52" s="3">
        <v>108</v>
      </c>
      <c r="H52" s="5">
        <v>34</v>
      </c>
    </row>
    <row r="53" spans="1:8" x14ac:dyDescent="0.3">
      <c r="A53" s="3">
        <v>2026</v>
      </c>
      <c r="B53" t="s">
        <v>215</v>
      </c>
      <c r="C53" t="s">
        <v>158</v>
      </c>
      <c r="D53" s="3">
        <v>2</v>
      </c>
      <c r="E53" s="3">
        <v>23</v>
      </c>
      <c r="F53" s="3">
        <v>722</v>
      </c>
      <c r="G53" s="3">
        <v>50</v>
      </c>
      <c r="H53" s="5">
        <v>31.391304347826086</v>
      </c>
    </row>
    <row r="54" spans="1:8" x14ac:dyDescent="0.3">
      <c r="A54" s="3">
        <v>2025</v>
      </c>
      <c r="B54" t="s">
        <v>200</v>
      </c>
      <c r="C54" t="s">
        <v>161</v>
      </c>
      <c r="D54" s="5">
        <v>1</v>
      </c>
      <c r="E54" s="3">
        <v>29</v>
      </c>
      <c r="F54" s="3">
        <v>872</v>
      </c>
      <c r="G54" s="3">
        <v>44</v>
      </c>
      <c r="H54" s="5">
        <v>30.068965517241381</v>
      </c>
    </row>
    <row r="55" spans="1:8" x14ac:dyDescent="0.3">
      <c r="A55" s="3">
        <v>2024</v>
      </c>
      <c r="B55" t="s">
        <v>225</v>
      </c>
      <c r="C55" t="s">
        <v>161</v>
      </c>
      <c r="D55" s="5">
        <v>1</v>
      </c>
      <c r="E55" s="3">
        <v>35</v>
      </c>
      <c r="F55" s="3">
        <v>984</v>
      </c>
      <c r="G55" s="3">
        <v>41</v>
      </c>
      <c r="H55" s="5">
        <v>28.114285714285714</v>
      </c>
    </row>
    <row r="56" spans="1:8" x14ac:dyDescent="0.3">
      <c r="A56" s="3">
        <v>2025</v>
      </c>
      <c r="B56" s="3" t="s">
        <v>252</v>
      </c>
      <c r="C56" s="3" t="s">
        <v>156</v>
      </c>
      <c r="D56" s="3">
        <v>4</v>
      </c>
      <c r="E56" s="3">
        <v>15</v>
      </c>
      <c r="F56" s="3">
        <v>376</v>
      </c>
      <c r="G56" s="3">
        <v>72</v>
      </c>
      <c r="H56" s="5">
        <v>25.066666666666666</v>
      </c>
    </row>
    <row r="57" spans="1:8" x14ac:dyDescent="0.3">
      <c r="A57" s="3">
        <v>2025</v>
      </c>
      <c r="B57" s="3" t="s">
        <v>228</v>
      </c>
      <c r="C57" s="3" t="s">
        <v>152</v>
      </c>
      <c r="D57" s="3">
        <v>2</v>
      </c>
      <c r="E57" s="3">
        <v>19</v>
      </c>
      <c r="F57" s="3">
        <v>459</v>
      </c>
      <c r="G57" s="3">
        <v>67</v>
      </c>
      <c r="H57" s="5">
        <v>24.157894736842106</v>
      </c>
    </row>
    <row r="58" spans="1:8" x14ac:dyDescent="0.3">
      <c r="A58" s="3">
        <v>2026</v>
      </c>
      <c r="B58" t="s">
        <v>246</v>
      </c>
      <c r="C58" t="s">
        <v>163</v>
      </c>
      <c r="D58" s="5">
        <v>1</v>
      </c>
      <c r="E58" s="3">
        <v>23</v>
      </c>
      <c r="F58" s="3">
        <v>469</v>
      </c>
      <c r="G58" s="3">
        <v>57</v>
      </c>
      <c r="H58" s="5">
        <v>20.391304347826086</v>
      </c>
    </row>
    <row r="59" spans="1:8" x14ac:dyDescent="0.3">
      <c r="A59" s="3">
        <v>2024</v>
      </c>
      <c r="B59" s="3" t="s">
        <v>222</v>
      </c>
      <c r="C59" s="3" t="s">
        <v>161</v>
      </c>
      <c r="D59" s="3">
        <v>1</v>
      </c>
      <c r="E59" s="3">
        <v>14</v>
      </c>
      <c r="F59" s="3">
        <v>272</v>
      </c>
      <c r="G59" s="3">
        <v>79</v>
      </c>
      <c r="H59" s="5">
        <v>19.428571428571427</v>
      </c>
    </row>
    <row r="60" spans="1:8" x14ac:dyDescent="0.3">
      <c r="A60" s="3">
        <v>2025</v>
      </c>
      <c r="B60" t="s">
        <v>246</v>
      </c>
      <c r="C60" t="s">
        <v>163</v>
      </c>
      <c r="D60" s="3">
        <v>1</v>
      </c>
      <c r="E60" s="3">
        <v>12</v>
      </c>
      <c r="F60" s="3">
        <v>226</v>
      </c>
      <c r="G60" s="3">
        <v>82</v>
      </c>
      <c r="H60" s="5">
        <v>18.833333333333332</v>
      </c>
    </row>
    <row r="61" spans="1:8" x14ac:dyDescent="0.3">
      <c r="A61" s="3">
        <v>2024</v>
      </c>
      <c r="B61" t="s">
        <v>228</v>
      </c>
      <c r="C61" t="s">
        <v>152</v>
      </c>
      <c r="D61" s="3">
        <v>2</v>
      </c>
      <c r="E61" s="3">
        <v>25</v>
      </c>
      <c r="F61" s="3">
        <v>436</v>
      </c>
      <c r="G61" s="3">
        <v>64</v>
      </c>
      <c r="H61" s="5">
        <v>17.440000000000001</v>
      </c>
    </row>
    <row r="62" spans="1:8" x14ac:dyDescent="0.3">
      <c r="A62" s="3">
        <v>2025</v>
      </c>
      <c r="B62" t="s">
        <v>225</v>
      </c>
      <c r="C62" t="s">
        <v>161</v>
      </c>
      <c r="D62" s="3">
        <v>1</v>
      </c>
      <c r="E62" s="3">
        <v>30</v>
      </c>
      <c r="F62" s="3">
        <v>513</v>
      </c>
      <c r="G62" s="3">
        <v>61</v>
      </c>
      <c r="H62" s="5">
        <v>17.100000000000001</v>
      </c>
    </row>
    <row r="63" spans="1:8" x14ac:dyDescent="0.3">
      <c r="A63" s="3">
        <v>2025</v>
      </c>
      <c r="B63" s="3" t="s">
        <v>313</v>
      </c>
      <c r="C63" s="3" t="s">
        <v>171</v>
      </c>
      <c r="D63" s="3">
        <v>5</v>
      </c>
      <c r="E63" s="3">
        <v>4</v>
      </c>
      <c r="F63" s="3">
        <v>66</v>
      </c>
      <c r="G63" s="3">
        <v>109</v>
      </c>
      <c r="H63" s="5">
        <v>16.5</v>
      </c>
    </row>
    <row r="64" spans="1:8" x14ac:dyDescent="0.3">
      <c r="A64" s="3">
        <v>2025</v>
      </c>
      <c r="B64" s="3" t="s">
        <v>215</v>
      </c>
      <c r="C64" s="3" t="s">
        <v>158</v>
      </c>
      <c r="D64" s="3">
        <v>2</v>
      </c>
      <c r="E64" s="3">
        <v>16</v>
      </c>
      <c r="F64" s="3">
        <v>248</v>
      </c>
      <c r="G64" s="3">
        <v>84</v>
      </c>
      <c r="H64" s="5">
        <v>15.5</v>
      </c>
    </row>
    <row r="65" spans="1:8" x14ac:dyDescent="0.3">
      <c r="A65" s="3">
        <v>2026</v>
      </c>
      <c r="B65" t="s">
        <v>241</v>
      </c>
      <c r="C65" t="s">
        <v>152</v>
      </c>
      <c r="D65" s="3">
        <v>2</v>
      </c>
      <c r="E65" s="3">
        <v>17</v>
      </c>
      <c r="F65" s="3">
        <v>259</v>
      </c>
      <c r="G65" s="3">
        <v>77</v>
      </c>
      <c r="H65" s="5">
        <v>15.235294117647058</v>
      </c>
    </row>
    <row r="66" spans="1:8" x14ac:dyDescent="0.3">
      <c r="A66" s="3">
        <v>2024</v>
      </c>
      <c r="B66" s="3" t="s">
        <v>241</v>
      </c>
      <c r="C66" s="3" t="s">
        <v>152</v>
      </c>
      <c r="D66" s="3">
        <v>2</v>
      </c>
      <c r="E66" s="3">
        <v>11</v>
      </c>
      <c r="F66" s="3">
        <v>165</v>
      </c>
      <c r="G66" s="3">
        <v>93</v>
      </c>
      <c r="H66" s="5">
        <v>15</v>
      </c>
    </row>
    <row r="67" spans="1:8" x14ac:dyDescent="0.3">
      <c r="A67" s="3">
        <v>2025</v>
      </c>
      <c r="B67" t="s">
        <v>260</v>
      </c>
      <c r="C67" t="s">
        <v>278</v>
      </c>
      <c r="D67" s="3">
        <v>1</v>
      </c>
      <c r="E67" s="3">
        <v>8</v>
      </c>
      <c r="F67" s="3">
        <v>114</v>
      </c>
      <c r="G67" s="3">
        <v>99</v>
      </c>
      <c r="H67" s="5">
        <v>14.25</v>
      </c>
    </row>
    <row r="68" spans="1:8" x14ac:dyDescent="0.3">
      <c r="A68" s="3">
        <v>2026</v>
      </c>
      <c r="B68" s="3" t="s">
        <v>225</v>
      </c>
      <c r="C68" s="3" t="s">
        <v>161</v>
      </c>
      <c r="D68" s="3">
        <v>1</v>
      </c>
      <c r="E68" s="3">
        <v>16</v>
      </c>
      <c r="F68" s="3">
        <v>206</v>
      </c>
      <c r="G68" s="3">
        <v>89</v>
      </c>
      <c r="H68" s="5">
        <v>12.875</v>
      </c>
    </row>
    <row r="69" spans="1:8" x14ac:dyDescent="0.3">
      <c r="A69" s="3">
        <v>2024</v>
      </c>
      <c r="B69" s="3" t="s">
        <v>307</v>
      </c>
      <c r="C69" s="3" t="s">
        <v>158</v>
      </c>
      <c r="D69" s="3">
        <v>2</v>
      </c>
      <c r="E69" s="3">
        <v>6</v>
      </c>
      <c r="F69" s="3">
        <v>72</v>
      </c>
      <c r="G69" s="3">
        <v>108</v>
      </c>
      <c r="H69" s="5">
        <v>12</v>
      </c>
    </row>
    <row r="70" spans="1:8" x14ac:dyDescent="0.3">
      <c r="A70" s="3">
        <v>2025</v>
      </c>
      <c r="B70" t="s">
        <v>306</v>
      </c>
      <c r="C70" t="s">
        <v>158</v>
      </c>
      <c r="D70" s="3">
        <v>2</v>
      </c>
      <c r="E70" s="3">
        <v>4</v>
      </c>
      <c r="F70" s="3">
        <v>24</v>
      </c>
      <c r="G70" s="3">
        <v>122</v>
      </c>
      <c r="H70" s="5">
        <v>6</v>
      </c>
    </row>
    <row r="71" spans="1:8" x14ac:dyDescent="0.3">
      <c r="A71" s="3">
        <v>2025</v>
      </c>
      <c r="B71" t="s">
        <v>312</v>
      </c>
      <c r="C71" t="s">
        <v>163</v>
      </c>
      <c r="D71" s="3">
        <v>1</v>
      </c>
      <c r="E71" s="3">
        <v>3</v>
      </c>
      <c r="F71" s="3">
        <v>18</v>
      </c>
      <c r="G71" s="3">
        <v>125</v>
      </c>
      <c r="H71" s="5">
        <v>6</v>
      </c>
    </row>
    <row r="72" spans="1:8" x14ac:dyDescent="0.3">
      <c r="A72" s="3">
        <v>2024</v>
      </c>
      <c r="B72" t="s">
        <v>314</v>
      </c>
      <c r="C72" t="s">
        <v>163</v>
      </c>
      <c r="D72" s="3">
        <v>1</v>
      </c>
      <c r="E72" s="3">
        <v>3</v>
      </c>
      <c r="F72" s="3">
        <v>12</v>
      </c>
      <c r="G72" s="3">
        <v>128</v>
      </c>
      <c r="H72" s="5">
        <v>4</v>
      </c>
    </row>
  </sheetData>
  <sortState xmlns:xlrd2="http://schemas.microsoft.com/office/spreadsheetml/2017/richdata2" ref="B2:H73">
    <sortCondition descending="1" ref="H1:H73"/>
  </sortState>
  <dataConsolidate>
    <dataRefs count="3">
      <dataRef ref="A17:H112" sheet="SWEEPS_2024"/>
      <dataRef ref="A4:H129" sheet="SWEEPS_2025"/>
      <dataRef ref="A14:H64" sheet="SWEEPS_2026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SWEEPS_2026</vt:lpstr>
      <vt:lpstr>SWEEPS_2025</vt:lpstr>
      <vt:lpstr>SWEEPS_2024</vt:lpstr>
      <vt:lpstr>Exhibitors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Wrobleski</dc:creator>
  <cp:lastModifiedBy>Rachel Wrobleski</cp:lastModifiedBy>
  <dcterms:created xsi:type="dcterms:W3CDTF">2026-09-30T19:35:22Z</dcterms:created>
  <dcterms:modified xsi:type="dcterms:W3CDTF">2026-10-10T05:58:07Z</dcterms:modified>
</cp:coreProperties>
</file>